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261b646168a133d/Documents/GitHub/weathering-the-yield/methodology/"/>
    </mc:Choice>
  </mc:AlternateContent>
  <xr:revisionPtr revIDLastSave="196" documentId="8_{E2880474-6383-4A23-83FB-0BFB047B2884}" xr6:coauthVersionLast="47" xr6:coauthVersionMax="47" xr10:uidLastSave="{51683CC6-62D0-4D91-B0F0-54CD06618A2A}"/>
  <bookViews>
    <workbookView xWindow="-98" yWindow="-98" windowWidth="21795" windowHeight="13875" xr2:uid="{00000000-000D-0000-FFFF-FFFF00000000}"/>
  </bookViews>
  <sheets>
    <sheet name="Methodology Decisions" sheetId="1" r:id="rId1"/>
    <sheet name="Feature Definition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6" i="1"/>
  <c r="B5" i="1"/>
  <c r="B5" i="3"/>
  <c r="B6" i="3"/>
  <c r="B7" i="3"/>
</calcChain>
</file>

<file path=xl/sharedStrings.xml><?xml version="1.0" encoding="utf-8"?>
<sst xmlns="http://schemas.openxmlformats.org/spreadsheetml/2006/main" count="524" uniqueCount="417">
  <si>
    <t>Senior Thesis Methodology Decision Table</t>
  </si>
  <si>
    <t>Weathering the Yield: Predicting Indiana Corn Yield with Growing-Season Weather Extremes</t>
  </si>
  <si>
    <t>Decision Status</t>
  </si>
  <si>
    <t>Count</t>
  </si>
  <si>
    <t>Status Definitions</t>
  </si>
  <si>
    <t>Final</t>
  </si>
  <si>
    <t>Final = supported well enough that it should not be revisited unless new advisor feedback or evidence requires it. Provisional = direction is established, but a detail still needs to be selected using literature or pre-2022 development data. Needs Advisor Input = reserved for decisions that should not be finalized without advisor guidance.</t>
  </si>
  <si>
    <t>Provisional</t>
  </si>
  <si>
    <t>Needs Advisor Input</t>
  </si>
  <si>
    <t>Decision ID</t>
  </si>
  <si>
    <t>Category</t>
  </si>
  <si>
    <t>Decision Question</t>
  </si>
  <si>
    <t>Current Decision</t>
  </si>
  <si>
    <t>Status</t>
  </si>
  <si>
    <t>Evidence / Basis</t>
  </si>
  <si>
    <t>Rationale</t>
  </si>
  <si>
    <t>Leakage / Bias Consideration</t>
  </si>
  <si>
    <t>Implementation</t>
  </si>
  <si>
    <t>Date Locked</t>
  </si>
  <si>
    <t>Notes</t>
  </si>
  <si>
    <t>M01</t>
  </si>
  <si>
    <t>Study outcome</t>
  </si>
  <si>
    <t>What outcome will be predicted?</t>
  </si>
  <si>
    <t>Indiana county-level corn grain yield</t>
  </si>
  <si>
    <t>Thesis proposal; USDA NASS data</t>
  </si>
  <si>
    <t>Matches the research question and available county-level yield records.</t>
  </si>
  <si>
    <t>Outcome cannot be used to construct predictors for the same prediction year.</t>
  </si>
  <si>
    <t>USDA processing script / modeling dataset</t>
  </si>
  <si>
    <t>Yield observations remain at the county-year level.</t>
  </si>
  <si>
    <t>M02</t>
  </si>
  <si>
    <t>Study period</t>
  </si>
  <si>
    <t>What years will be included?</t>
  </si>
  <si>
    <t>2000–2025</t>
  </si>
  <si>
    <t>Data coverage audit; project proposal</t>
  </si>
  <si>
    <t>Provides a long historical period while meeting the requirement that the dataset include recent data.</t>
  </si>
  <si>
    <t>Later years must not influence earlier development folds.</t>
  </si>
  <si>
    <t>Historical USDA and NOAA datasets</t>
  </si>
  <si>
    <t>NOAA coverage is complete; USDA yield panel is unbalanced.</t>
  </si>
  <si>
    <t>M03</t>
  </si>
  <si>
    <t>Geography</t>
  </si>
  <si>
    <t>What geographic area will be modeled?</t>
  </si>
  <si>
    <t>Indiana counties with observed USDA corn yield</t>
  </si>
  <si>
    <t>Research question; USDA/NOAA coverage audits</t>
  </si>
  <si>
    <t>Keeps the thesis focused and allows county-level spatial evaluation.</t>
  </si>
  <si>
    <t>Do not create yield observations for counties or years where USDA yield is missing.</t>
  </si>
  <si>
    <t>County FIPS used as primary geographic identifier</t>
  </si>
  <si>
    <t>NOAA contains all 92 counties; USDA availability varies.</t>
  </si>
  <si>
    <t>M04</t>
  </si>
  <si>
    <t>Predictor groups</t>
  </si>
  <si>
    <t>What model groups will be compared?</t>
  </si>
  <si>
    <t>1) Historical yield baseline; 2) Historical + conventional weather; 3) Historical + conventional weather + weather extremes</t>
  </si>
  <si>
    <t>Proposal; literature review; advisor feedback</t>
  </si>
  <si>
    <t>Directly tests the incremental predictive value of weather and then weather extremes.</t>
  </si>
  <si>
    <t>Predictor groups must be evaluated under identical conditions.</t>
  </si>
  <si>
    <t>Modeling workflow</t>
  </si>
  <si>
    <t>Central comparison of the thesis.</t>
  </si>
  <si>
    <t>M05</t>
  </si>
  <si>
    <t>Historical baseline</t>
  </si>
  <si>
    <t>Sajid et al. (2022); Zhao et al. (2025); Stracqualursi (2026); advisor feedback</t>
  </si>
  <si>
    <t>M06</t>
  </si>
  <si>
    <t>Recent yield history</t>
  </si>
  <si>
    <t>M07</t>
  </si>
  <si>
    <t>Conventional weather</t>
  </si>
  <si>
    <t>What will Model Group 2 add?</t>
  </si>
  <si>
    <t>Literature-supported temperature and precipitation summaries calculated within selected growing-season periods</t>
  </si>
  <si>
    <t>Pei et al. (2025); Lingua et al. (2024); Teleubay et al. (2025)</t>
  </si>
  <si>
    <t>Tests whether conventional weather adds predictive information beyond historical yield.</t>
  </si>
  <si>
    <t>Window definitions must be established before final test evaluation.</t>
  </si>
  <si>
    <t>Weather feature script</t>
  </si>
  <si>
    <t>Exact variables and periods will be documented in Sheet 2.</t>
  </si>
  <si>
    <t>M08</t>
  </si>
  <si>
    <t>Weather extremes</t>
  </si>
  <si>
    <t>What will Model Group 3 add?</t>
  </si>
  <si>
    <t>Thresholds and definitions cannot be selected from final holdout performance.</t>
  </si>
  <si>
    <t>M09</t>
  </si>
  <si>
    <t>Feature timing</t>
  </si>
  <si>
    <t>How will weather be aggregated over the season?</t>
  </si>
  <si>
    <t>Use a small number of literature-informed periods rather than one broad April–September summary</t>
  </si>
  <si>
    <t>Pei et al. (2025); Lingua et al. (2024); Niu et al. (2024); Teleubay et al. (2025)</t>
  </si>
  <si>
    <t>Literature consistently shows that weather sensitivity varies by crop stage.</t>
  </si>
  <si>
    <t>Final windows must be chosen before examining final holdout performance.</t>
  </si>
  <si>
    <t>Weather feature engineering</t>
  </si>
  <si>
    <t>Avoid claiming exact county phenology without phenology data.</t>
  </si>
  <si>
    <t>M10</t>
  </si>
  <si>
    <t>Development validation</t>
  </si>
  <si>
    <t>How will models be developed and tuned?</t>
  </si>
  <si>
    <t>Hewamalage et al. (2023); Stracqualursi (2026); advisor feedback</t>
  </si>
  <si>
    <t>M11</t>
  </si>
  <si>
    <t>Final evaluation</t>
  </si>
  <si>
    <t>Which years will remain untouched for final testing?</t>
  </si>
  <si>
    <t>2022–2025</t>
  </si>
  <si>
    <t>Provides four recent future years for final model comparison.</t>
  </si>
  <si>
    <t>Must remain unused for feature selection, tuning, or threshold selection.</t>
  </si>
  <si>
    <t>M12</t>
  </si>
  <si>
    <t>Preprocessing</t>
  </si>
  <si>
    <t>How will data-dependent preprocessing be handled?</t>
  </si>
  <si>
    <t>Recalculate learned preprocessing within each training fold</t>
  </si>
  <si>
    <t>Hewamalage et al. (2023); Li et al. (2026)</t>
  </si>
  <si>
    <t>Prevents future information from leaking into model development.</t>
  </si>
  <si>
    <t>Includes scaling, trend fitting, empirical thresholds, imputation, and any learned transformation.</t>
  </si>
  <si>
    <t>Modeling pipeline</t>
  </si>
  <si>
    <t>Static literature-defined thresholds differ from empirically estimated thresholds.</t>
  </si>
  <si>
    <t>M13</t>
  </si>
  <si>
    <t>Fair model comparison</t>
  </si>
  <si>
    <t>How will predictor groups be compared?</t>
  </si>
  <si>
    <t>Use the same observed county-years, training periods, validation years, preprocessing rules, algorithms, and metrics for all groups</t>
  </si>
  <si>
    <t>Ensures differences reflect predictor information rather than evaluation differences.</t>
  </si>
  <si>
    <t>No model group should receive information unavailable to the others except its intended added predictors.</t>
  </si>
  <si>
    <t>M14</t>
  </si>
  <si>
    <t>Missing yield observations</t>
  </si>
  <si>
    <t>How will missing USDA county-year yields be handled?</t>
  </si>
  <si>
    <t>Retain the naturally unbalanced panel; do not impute missing yield outcomes merely to balance the dataset</t>
  </si>
  <si>
    <t>USDA coverage audit; panel forecasting literature</t>
  </si>
  <si>
    <t>Avoids creating artificial outcome values.</t>
  </si>
  <si>
    <t>Models and metrics use only observed yield outcomes.</t>
  </si>
  <si>
    <t>Modeling dataset construction</t>
  </si>
  <si>
    <t>Missing predictor handling, if needed, is a separate decision.</t>
  </si>
  <si>
    <t>M15</t>
  </si>
  <si>
    <t>Performance metrics</t>
  </si>
  <si>
    <t>What metrics will be reported?</t>
  </si>
  <si>
    <t>RMSE and MAE as primary metrics; R² as a secondary descriptive measure</t>
  </si>
  <si>
    <t>Hewamalage et al. (2023); crop prediction literature</t>
  </si>
  <si>
    <t>RMSE and MAE directly quantify forecast error; R² provides complementary fit information.</t>
  </si>
  <si>
    <t>All models must be evaluated on identical observations.</t>
  </si>
  <si>
    <t>M16</t>
  </si>
  <si>
    <t>Evaluation scale</t>
  </si>
  <si>
    <t>At what levels will performance be examined?</t>
  </si>
  <si>
    <t>Overall pooled performance, individual test years, and county-level performance where sufficient observations exist</t>
  </si>
  <si>
    <t>Chang et al. (2023); He &amp; Luo (2026); Li et al. (2026); advisor feedback</t>
  </si>
  <si>
    <t>Pooled metrics may hide poor performance in specific years or locations.</t>
  </si>
  <si>
    <t>County comparisons require enough observed test years to be meaningful.</t>
  </si>
  <si>
    <t>M17</t>
  </si>
  <si>
    <t>Spatial evaluation</t>
  </si>
  <si>
    <t>How will geographic model error be examined?</t>
  </si>
  <si>
    <t>M18</t>
  </si>
  <si>
    <t>Statistical comparison</t>
  </si>
  <si>
    <t>How will meaningful performance differences be assessed?</t>
  </si>
  <si>
    <t>M19</t>
  </si>
  <si>
    <t>Algorithms</t>
  </si>
  <si>
    <t>Which modeling algorithms will be considered?</t>
  </si>
  <si>
    <t>M20</t>
  </si>
  <si>
    <t>Feature selection</t>
  </si>
  <si>
    <t>When can predictor or threshold choices be changed?</t>
  </si>
  <si>
    <t>Feature definitions and tuning decisions may use literature and pre-2022 development results only; final 2022–2025 results cannot drive feature selection</t>
  </si>
  <si>
    <t>Protects against test-set overfitting and hindsight-driven methodology.</t>
  </si>
  <si>
    <t>Final holdout cannot be reopened during feature engineering.</t>
  </si>
  <si>
    <t>M21</t>
  </si>
  <si>
    <t>Interpretation</t>
  </si>
  <si>
    <t>How will weather effects be described?</t>
  </si>
  <si>
    <t>As predictors associated with yield, not as direct causal effects</t>
  </si>
  <si>
    <t>Literature review; advisor feedback</t>
  </si>
  <si>
    <t>Soil, management, genetics, and other omitted factors prevent strong causal interpretation.</t>
  </si>
  <si>
    <t>Avoid causal language in results and discussion.</t>
  </si>
  <si>
    <t>Thesis writing</t>
  </si>
  <si>
    <t>Use terms such as associated with, predictive value, and relationship.</t>
  </si>
  <si>
    <t>M22</t>
  </si>
  <si>
    <t>Reproducibility</t>
  </si>
  <si>
    <t>What must be preserved for reproducibility?</t>
  </si>
  <si>
    <t>Scripts, feature definitions, random seeds, model settings, package versions/data-access dates where practical, and methodology decisions</t>
  </si>
  <si>
    <t>Advisor feedback</t>
  </si>
  <si>
    <t>Allows the full workflow to be reconstructed and explains why decisions were made.</t>
  </si>
  <si>
    <t>Any manual intervention should be documented.</t>
  </si>
  <si>
    <t>Use this sheet as the high-level methodology control document. Finalize provisional decisions only from published literature, pre-2022 development data, or advisor feedback—never from 2022–2025 final holdout performance.</t>
  </si>
  <si>
    <t>What information should the historical baseline represent?</t>
  </si>
  <si>
    <t>County identity, a long-term temporal trend, and one or more recent-yield features selected using pre-2022 development validation</t>
  </si>
  <si>
    <t>County identity represents persistent geographic productivity differences, the time variable represents long-term productivity change, and recent yield history captures shorter-term local information. A competitive historical baseline prevents weather from appearing useful simply because the comparison model is weak.</t>
  </si>
  <si>
    <r>
      <t xml:space="preserve">Trend and recent-yield variables for prediction year </t>
    </r>
    <r>
      <rPr>
        <sz val="11"/>
        <rFont val="Cascadia Code"/>
        <family val="3"/>
      </rPr>
      <t>t</t>
    </r>
    <r>
      <rPr>
        <sz val="11"/>
        <rFont val="Carlito"/>
      </rPr>
      <t xml:space="preserve"> may use only information available before year </t>
    </r>
    <r>
      <rPr>
        <sz val="11"/>
        <rFont val="Cascadia Code"/>
        <family val="3"/>
      </rPr>
      <t>t</t>
    </r>
    <r>
      <rPr>
        <sz val="11"/>
        <rFont val="Carlito"/>
      </rPr>
      <t>. Any feature choice or tuning must occur using pre-2022 development data only.</t>
    </r>
  </si>
  <si>
    <t>Baseline feature engineering and modeling scripts</t>
  </si>
  <si>
    <t>How should recent county yield history be represented?</t>
  </si>
  <si>
    <t>For each fold, only observations preceding the validation year may be used for model fitting, preprocessing, feature estimation, or tuning. The 2022–2025 final holdout remains untouched during development.</t>
  </si>
  <si>
    <t>Use previous-year county corn yield (lag-1 yield) as the recent-yield component of the historical baseline.</t>
  </si>
  <si>
    <t>Historical-feature availability audit and 2012–2021 expanding-window rolling-origin comparison using identical county-year observations.</t>
  </si>
  <si>
    <t>Lag-1 yield had lower mean yearly RMSE (34.4 vs. 35.1) and MAE (31.1 vs. 31.9), lower median yearly RMSE and MAE, and outperformed the flexible 3-year mean in 6 of 10 validation years for both RMSE and MAE. Although the flexible history feature had greater availability and slightly lower pooled RMSE, lag-1 performed better on the pre-specified primary criterion of mean yearly RMSE, showed more consistent year-to-year performance, and provides a simpler and more interpretable representation of recent yield history.</t>
  </si>
  <si>
    <t>For prediction year t, lag-1 uses only the observed county yield from year t − 1. Candidate selection was conducted entirely with pre-2022 development data under rolling-origin validation. The 2022–2025 final holdout was not used for feature selection.</t>
  </si>
  <si>
    <t>Historical feature engineering, baseline candidate comparison, and final lag-1 baseline setup.</t>
  </si>
  <si>
    <t>Strict 3-year history was eliminated during the availability audit. Flexible 2-of-3 trailing history was retained for development comparison but was not selected after rolling-origin validation. After lag-1 was selected, the final development sample expanded to 1,691 observations across 91 counties for 2001–2021. Crawford County cannot support the lag-1 baseline because its USDA development-period yield records contain no consecutive observed years.</t>
  </si>
  <si>
    <t>https://doi.org/10.1016/j.agrformet.2024.110286 ; https://doi.org/10.1016/j.agwat.2025.109834 ; https://www.agry.purdue.edu/ext/corn/news/timeless/GrainFill.html</t>
  </si>
  <si>
    <t>Fixed-calendar approximation of grain filling and late-season development; exact timing varies by planting date, hybrid, location, and year.</t>
  </si>
  <si>
    <t>Represents post-pollination kernel development, grain filling, and progression toward physiological maturity.</t>
  </si>
  <si>
    <t>No — window fixed from literature before model development</t>
  </si>
  <si>
    <t>Lingua et al. (2024); Dhillon et al. (2025); Purdue grain-fill guidance</t>
  </si>
  <si>
    <t>N/A</t>
  </si>
  <si>
    <t>Fixed-calendar window used to calculate late-season conventional and extreme weather features.</t>
  </si>
  <si>
    <t>August 1–September 30</t>
  </si>
  <si>
    <t>tmax, tmin, tavg, prcp (as applicable)</t>
  </si>
  <si>
    <t>Grain-fill window</t>
  </si>
  <si>
    <t>Time Window</t>
  </si>
  <si>
    <t>T03</t>
  </si>
  <si>
    <t>https://doi.org/10.1016/j.agrformet.2024.110286 ; https://doi.org/10.1016/j.scitotenv.2024.175898 ; https://www.extension.purdue.edu/extmedia/nch/nch-40.html</t>
  </si>
  <si>
    <t>Fixed-calendar approximation of the reproductive-critical period; exact flowering dates vary by planting date, hybrid, location, and year.</t>
  </si>
  <si>
    <t>Captures the period when flowering, pollination, silking, and early kernel set commonly occur in Indiana corn.</t>
  </si>
  <si>
    <t>Lingua et al. (2024); Niu et al. (2024); Purdue flowering guidance</t>
  </si>
  <si>
    <t>Fixed-calendar window used to calculate weather features during the primary reproductive-sensitive period.</t>
  </si>
  <si>
    <t>July 1–July 31</t>
  </si>
  <si>
    <t>Reproductive-critical window</t>
  </si>
  <si>
    <t>T02</t>
  </si>
  <si>
    <t>https://doi.org/10.1016/j.agrformet.2024.110340 ; https://doi.org/10.1016/j.agrformet.2024.110286 ; https://www.extension.purdue.edu/extmedia/nch/nch-40.html</t>
  </si>
  <si>
    <t>Fixed-calendar approximation of early-season development; does not assume exact county-year phenology.</t>
  </si>
  <si>
    <t>Represents establishment, vegetative growth, and development of yield potential before the primary reproductive period.</t>
  </si>
  <si>
    <t>Pei et al. (2025); Lingua et al. (2024); Purdue corn-development guidance</t>
  </si>
  <si>
    <t>Fixed-calendar window used to calculate early-season conventional and extreme weather features.</t>
  </si>
  <si>
    <t>May 1–June 30</t>
  </si>
  <si>
    <t>Early-season window</t>
  </si>
  <si>
    <t>T01</t>
  </si>
  <si>
    <t>Source URL(s)</t>
  </si>
  <si>
    <t>Training-Only Requirement</t>
  </si>
  <si>
    <t>Literature Basis</t>
  </si>
  <si>
    <t>Threshold</t>
  </si>
  <si>
    <t>Definition / Formula</t>
  </si>
  <si>
    <t>Source Variable(s)</t>
  </si>
  <si>
    <t>Feature Name</t>
  </si>
  <si>
    <t>Feature Group</t>
  </si>
  <si>
    <t>Feature ID</t>
  </si>
  <si>
    <t>Excluded</t>
  </si>
  <si>
    <t>Final = definition is supported and locked before model evaluation. Provisional = direction is established but an exact variable, threshold, or implementation detail still needs to be selected using literature or pre-2022 development data. Excluded = considered but intentionally not carried forward.</t>
  </si>
  <si>
    <t>Feature Status</t>
  </si>
  <si>
    <t>Senior Thesis Feature Definitions</t>
  </si>
  <si>
    <t>W01</t>
  </si>
  <si>
    <t>Conventional Weather</t>
  </si>
  <si>
    <t>Early-season mean temperature</t>
  </si>
  <si>
    <t>tavg</t>
  </si>
  <si>
    <t>T01: May 1–June 30</t>
  </si>
  <si>
    <t>Pei et al. (2025); Lingua et al. (2024)</t>
  </si>
  <si>
    <t>No — direct summary of observed daily weather</t>
  </si>
  <si>
    <t>W02</t>
  </si>
  <si>
    <t>Early-season total precipitation</t>
  </si>
  <si>
    <t>prcp</t>
  </si>
  <si>
    <t>W03</t>
  </si>
  <si>
    <t>Reproductive-period mean temperature</t>
  </si>
  <si>
    <t>T02: July 1–July 31</t>
  </si>
  <si>
    <t>Lingua et al. (2024); Niu et al. (2024); Dhillon et al. (2025)</t>
  </si>
  <si>
    <t>W04</t>
  </si>
  <si>
    <t>Reproductive-period total precipitation</t>
  </si>
  <si>
    <t>W05</t>
  </si>
  <si>
    <t>Grain-fill mean temperature</t>
  </si>
  <si>
    <t>Lingua et al. (2024); Dhillon et al. (2025); Teleubay et al. (2025)</t>
  </si>
  <si>
    <t>W06</t>
  </si>
  <si>
    <t>Grain-fill total precipitation</t>
  </si>
  <si>
    <t>https://doi.org/10.1038/s41598-023-27931-7 ; https://doi.org/10.1016/j.scitotenv.2024.175898</t>
  </si>
  <si>
    <t>Compound heat and moisture stress is biologically plausible, but precipitation does not directly measure soil or crop water status and the four selected extremes already represent the major stress families.</t>
  </si>
  <si>
    <t>Potentially — scaling or transformations would need to be learned within training folds if used</t>
  </si>
  <si>
    <t>Ting et al. (2023); Niu et al. (2024)</t>
  </si>
  <si>
    <t>Explicit product or compound indicator combining selected heat and dry-condition measures.</t>
  </si>
  <si>
    <t>Reproductive / early grain-fill period</t>
  </si>
  <si>
    <t>tmax, prcp</t>
  </si>
  <si>
    <t>Heat × moisture interaction</t>
  </si>
  <si>
    <t>Compound Weather</t>
  </si>
  <si>
    <t>X04</t>
  </si>
  <si>
    <t>https://doi.org/10.1111/gcb.14628</t>
  </si>
  <si>
    <t>Maximum 5-day precipitation (E04) was retained as a simpler, directly reproducible concentrated-wetness measure.</t>
  </si>
  <si>
    <t>Strong literature basis, but the feature would add fold-specific climatology estimation and overlap with conventional precipitation totals.</t>
  </si>
  <si>
    <t>Yes — local climatology and thresholds would need to be estimated within each training fold</t>
  </si>
  <si>
    <t>Li et al. (2019)</t>
  </si>
  <si>
    <t>Literature example: &gt;2.5 SD; most extreme &gt;3.5 SD</t>
  </si>
  <si>
    <t>Standardize precipitation relative to a county-specific reference distribution and flag unusually wet conditions.</t>
  </si>
  <si>
    <t>Growing-season / local climatology</t>
  </si>
  <si>
    <t>Locally standardized excessive-wetness indicator</t>
  </si>
  <si>
    <t>Extreme Weather</t>
  </si>
  <si>
    <t>X03</t>
  </si>
  <si>
    <t>https://cds.climate.copernicus.eu/datasets/sis-extreme-indices-cmip6?tab=overview</t>
  </si>
  <si>
    <t>Excluded to limit redundancy; E03 retains the duration-based extreme concept.</t>
  </si>
  <si>
    <t>Overlaps with the consecutive-dry-spell indicator while providing less information about duration of sustained low-rainfall conditions.</t>
  </si>
  <si>
    <t>No — fixed threshold</t>
  </si>
  <si>
    <t>ETCCDI dry-day / consecutive-dry-days convention</t>
  </si>
  <si>
    <t>prcp &lt; 1 mm/day</t>
  </si>
  <si>
    <t>Count of days with daily precipitation below 1 mm.</t>
  </si>
  <si>
    <t>July 1–August 31</t>
  </si>
  <si>
    <t>Total dry-day count</t>
  </si>
  <si>
    <t>X02</t>
  </si>
  <si>
    <t>https://doi.org/10.1038/s41598-023-27931-7</t>
  </si>
  <si>
    <t>Considered alternative only; not included in the primary Model 3 feature set.</t>
  </si>
  <si>
    <t>Scientifically supported, but fixed literature-based thresholds provide simpler interpretation and cleaner reproducibility for the primary feature set.</t>
  </si>
  <si>
    <t>Yes — percentile threshold would need to be estimated within each training fold</t>
  </si>
  <si>
    <t>Ting et al. (2023)</t>
  </si>
  <si>
    <t>Local 90th/95th percentile</t>
  </si>
  <si>
    <t>County-specific hot-day indicator based on local 90th or 95th percentile maximum-temperature thresholds.</t>
  </si>
  <si>
    <t>Reproductive-sensitive period</t>
  </si>
  <si>
    <t>tmax</t>
  </si>
  <si>
    <t>Percentile-based local heat threshold</t>
  </si>
  <si>
    <t>X01</t>
  </si>
  <si>
    <t>https://doi.org/10.1111/gcb.14628 ; https://doi.org/10.1016/j.agrformet.2023.109819 ; https://cds.climate.copernicus.eu/datasets/sis-extreme-indices-cmip6?tab=overview</t>
  </si>
  <si>
    <t>Captures concentrated multi-day rainfall that may represent excessive-moisture exposure beyond total seasonal precipitation.</t>
  </si>
  <si>
    <t>No — direct extreme statistic calculated from observed daily precipitation</t>
  </si>
  <si>
    <t>Li et al. (2019); Kim et al. (2024); ETCCDI Rx5day convention</t>
  </si>
  <si>
    <t>None</t>
  </si>
  <si>
    <t>Maximum precipitation accumulated across any rolling 5-day period within the window.</t>
  </si>
  <si>
    <t>May 1–July 31</t>
  </si>
  <si>
    <t>Maximum 5-day precipitation</t>
  </si>
  <si>
    <t>E04</t>
  </si>
  <si>
    <t>https://doi.org/10.1016/j.agwat.2025.109834 ; https://doi.org/10.1016/j.agrformet.2025.110715 ; https://cds.climate.copernicus.eu/datasets/sis-extreme-indices-cmip6?tab=overview</t>
  </si>
  <si>
    <t>Captures duration of sustained low-rainfall conditions across the reproductive and early grain-fill periods.</t>
  </si>
  <si>
    <t>No — fixed threshold selected before model evaluation</t>
  </si>
  <si>
    <t>Dhillon et al. (2025); Teleubay et al. (2025); ETCCDI consecutive-dry-days convention</t>
  </si>
  <si>
    <t>Maximum number of consecutive calendar days with daily precipitation below 1 mm.</t>
  </si>
  <si>
    <t>Longest consecutive dry spell</t>
  </si>
  <si>
    <t>E03</t>
  </si>
  <si>
    <t>https://doi.org/10.1016/j.agrformet.2024.110286 ; https://doi.org/10.1016/j.scitotenv.2024.175898</t>
  </si>
  <si>
    <t>Captures intensity and duration of severe heat beyond a high-temperature threshold.</t>
  </si>
  <si>
    <t>No — fixed threshold selected from literature before model evaluation</t>
  </si>
  <si>
    <t>Lingua et al. (2024); Niu et al. (2024)</t>
  </si>
  <si>
    <t>35°C</t>
  </si>
  <si>
    <t>Sum of max(tmax − 35°C, 0) across days within T02.</t>
  </si>
  <si>
    <t>Reproductive-period extreme heat accumulation</t>
  </si>
  <si>
    <t>E02</t>
  </si>
  <si>
    <t>https://doi.org/10.1016/j.agrformet.2025.110632 ; https://doi.org/10.1016/j.agrformet.2024.110286 ; https://doi.org/10.1016/j.scitotenv.2024.175898</t>
  </si>
  <si>
    <t>Sabut et al. (2025); Lingua et al. (2024); Niu et al. (2024)</t>
  </si>
  <si>
    <t>tmax &gt; 30°C</t>
  </si>
  <si>
    <t>Count of days within T02 where daily maximum temperature exceeds 30°C.</t>
  </si>
  <si>
    <t>Reproductive-period hot-day count</t>
  </si>
  <si>
    <t>E01</t>
  </si>
  <si>
    <t>https://doi.org/10.1016/j.agrformet.2024.110286 ; https://doi.org/10.1016/j.agwat.2025.109834 ; https://doi.org/10.1016/j.agrformet.2025.110715</t>
  </si>
  <si>
    <t>Model 2 predictor. Precipitation in mm; does not directly measure soil-water availability.</t>
  </si>
  <si>
    <t>Represents cumulative late-season moisture input during grain filling.</t>
  </si>
  <si>
    <t>Sum of daily precipitation within T03 for each county-year.</t>
  </si>
  <si>
    <t>T03: August 1–September 30</t>
  </si>
  <si>
    <t>Model 2 predictor. Temperature in °C; fixed-calendar approximation.</t>
  </si>
  <si>
    <t>Represents typical thermal conditions during grain filling and late-season development.</t>
  </si>
  <si>
    <t>Arithmetic mean of daily tavg values within T03 for each county-year.</t>
  </si>
  <si>
    <t>https://doi.org/10.1016/j.agrformet.2024.110286 ; https://doi.org/10.1016/j.scitotenv.2024.175898 ; https://doi.org/10.1016/j.agwat.2025.109834</t>
  </si>
  <si>
    <t>Model 2 predictor. Precipitation is a weather input and should not be described as direct soil-water availability.</t>
  </si>
  <si>
    <t>Represents cumulative moisture input during the reproductive-sensitive period.</t>
  </si>
  <si>
    <t>Sum of daily precipitation within T02 for each county-year.</t>
  </si>
  <si>
    <t>Represents typical temperature during the reproductive-sensitive period.</t>
  </si>
  <si>
    <t>Arithmetic mean of daily tavg values within T02 for each county-year.</t>
  </si>
  <si>
    <t>https://doi.org/10.1016/j.agrformet.2024.110340 ; https://doi.org/10.1016/j.agrformet.2024.110286</t>
  </si>
  <si>
    <t>Model 2 predictor. Precipitation in mm; does not directly measure soil moisture.</t>
  </si>
  <si>
    <t>Represents cumulative early-season moisture input.</t>
  </si>
  <si>
    <t>Sum of daily precipitation within T01 for each county-year.</t>
  </si>
  <si>
    <t>Model 2 predictor. Temperature in °C; calculated separately for each county-year.</t>
  </si>
  <si>
    <t>Represents typical thermal conditions during the early growing season.</t>
  </si>
  <si>
    <t>Arithmetic mean of daily tavg values within T01 for each county-year.</t>
  </si>
  <si>
    <t>Recent-yield representation finalized in M06 as previous-year county yield (lag-1).</t>
  </si>
  <si>
    <t>A 2012 validation start provides an initial 2001–2011 training period with 952 usable county-year observations across 91 counties while preserving 10 annual out-of-time validation folds through 2021. All counties appearing in the 2012–2021 validation folds are represented previously in the corresponding training data, avoiding unseen county levels. The expanding-window design also reflects the intended forecasting setting by ensuring that only earlier years are used to predict later years.</t>
  </si>
  <si>
    <t>Initial training begins in 2001 after lag-1 yield was selected as the recent-history predictor. The earlier 2003 start was used only for the M06 candidate comparison because the alternative 3-year history feature required three preceding years.</t>
  </si>
  <si>
    <t>Development-data audit found nonzero exposure in 287 of 2,024 county-years (14.2%). Although sparse, the feature captures severe heat events and is not redundant with E01 (overall r = 0.41; r = 0.60 among nonzero E02 observations). Retained.</t>
  </si>
  <si>
    <t>Development-data audit showed adequate variation (4–25 days; median 9 days) and plausible spatial-temporal clustering. Retained without modification.</t>
  </si>
  <si>
    <t>Development-data audit showed adequate variation (24.5–254 mm; median 75.5 mm) and plausible clustered extreme events. Retained without modification.</t>
  </si>
  <si>
    <t>Three retained extreme-weather indicators: E02 reproductive-period extreme heat accumulation, E03 longest July–August dry spell, and E04 maximum May–July rolling 5-day precipitation. E01 hot-day count was evaluated but excluded following development-period multicollinearity and sensitivity analysis.</t>
  </si>
  <si>
    <t>Tests whether engineered extremes add predictive information beyond conventional weather while limiting redundant predictors. E01 was highly correlated with W03 and did not improve rolling-origin predictive performance when retained.</t>
  </si>
  <si>
    <t>Sabut et al. (2025); Ting et al. (2023); Li et al. (2019); Kim et al. (2024); 
Advisor feedback; development-period W03/E01 multicollinearity and rolling-origin sensitivity analysis</t>
  </si>
  <si>
    <t>E01 remains documented in Sheet 2 and in the engineered-weather dataset for reproducibility but is excluded from the primary modeling predictor set. The exclusion decision was made using pre-2022 development data only; the 2022–2025 final holdout was not used.</t>
  </si>
  <si>
    <t>Weather feature engineering and multicollinearity sensitivity analysis scripts</t>
  </si>
  <si>
    <t>Development-period modeling confirmed strong correlation with E01 hot-day count (r = 0.951; W03 VIF = 17.3). A 2012–2021 rolling-origin sensitivity analysis compared models containing both W03 and E01, W03 without E01, and E01 without W03. The W03-only specification produced the lowest mean RMSE (20.5) and MAE (17.7) and had the lowest RMSE in 8 of 10 validation years and lowest MAE in 9 of 10 years. W03 was retained and E01 was excluded before final holdout evaluation.</t>
  </si>
  <si>
    <t>Initially selected as a literature-supported measure of high-temperature frequency during the reproductive-sensitive period. Development-period analysis showed that E01 was highly redundant with W03 July mean temperature and did not improve rolling-origin predictive performance when both variables were retained.</t>
  </si>
  <si>
    <t>No for feature calculation — fixed literature threshold. The exclusion decision was based only on pre-2022 development data.</t>
  </si>
  <si>
    <t>Strong correlation with W03 was confirmed in the common modeling sample (r = 0.951; E01 VIF = 16.0). In 2012–2021 rolling-origin validation, the W03-only specification had mean RMSE = 20.5 and mean MAE = 17.7, compared with RMSE = 21.1 and MAE = 18.3 when both variables were included and RMSE = 21.4 and MAE = 18.6 when E01 was retained without W03. E01 was excluded before evaluation of the 2022–2025 holdout but remains documented and engineered for reproducibility.</t>
  </si>
  <si>
    <t>Tree-based models can learn interactions among the retained conventional and extreme-weather predictors directly. An explicit interaction term is therefore not included in the primary feature set.</t>
  </si>
  <si>
    <t>Forward-looking expanding-window rolling-origin validation using only pre-2022 observations. The initial development training window uses 2001–2011 observations, with 2012 as the first validation year. The training window then expands one year at a time through the final 2021 development validation fold.</t>
  </si>
  <si>
    <t>Scripts 17–20 development-stage model evaluation and comparison</t>
  </si>
  <si>
    <t>Advisor feedback; literature review; Scripts 17–20 development-stage model comparison</t>
  </si>
  <si>
    <t>Scripts 17–20 common expanding-window comparison workflow</t>
  </si>
  <si>
    <t>All nine algorithm × predictor-group specifications were evaluated over the same 2012–2021 validation years. Each pooled specification contained 739 validation observations.</t>
  </si>
  <si>
    <t>Multiple Linear Regression, Random Forest, and XGBoost</t>
  </si>
  <si>
    <t>Project scope; crop prediction literature; Scripts 17–20 development-stage model comparison</t>
  </si>
  <si>
    <t>Provides an interpretable linear benchmark plus two nonlinear tree-based ensemble alternatives while keeping the model-family comparison limited and computationally manageable.</t>
  </si>
  <si>
    <t>Hyperparameter tuning must occur entirely within pre-2022 development validation.</t>
  </si>
  <si>
    <t>Scripts 17–20 development-stage model fitting, tuning, and comparison</t>
  </si>
  <si>
    <t>The algorithm set is closed before final holdout evaluation. No additional model families will be introduced based on 2022–2025 performance.</t>
  </si>
  <si>
    <t>Scripts 21–22 difficult-year diagnostic and development-stage lock</t>
  </si>
  <si>
    <t>Decision log + modeling workflow + development-stage lock</t>
  </si>
  <si>
    <t>Script 21 was descriptive and diagnostic only and did not trigger predictor, threshold, or model changes. Script 22 formally locked the predictor set and model specification before final holdout evaluation.</t>
  </si>
  <si>
    <t>M23</t>
  </si>
  <si>
    <t>Model selection</t>
  </si>
  <si>
    <t>Which development-stage model specification will advance to final holdout evaluation?</t>
  </si>
  <si>
    <t>Linear Regression with Group 3 predictors: historical baseline predictors plus W01–W06 conventional weather variables and E02–E04 retained extreme-weather indicators.</t>
  </si>
  <si>
    <t>Scripts 17–20 development-stage model comparison; pooled 2012–2021 expanding-window validation results</t>
  </si>
  <si>
    <t>Linear Regression Group 3 produced the strongest overall development-stage performance. Pooled RMSE was 22.56 bu/acre, pooled MAE was 18.10 bu/acre, and pooled R² was 0.553. It ranked first among all nine algorithm × predictor-group specifications on all three pooled metrics and was the best overall specification in 6 of 10 validation years. In the sensitivity analysis excluding 2012, it remained first with mean RMSE of 19.5 and mean MAE of 16.8.</t>
  </si>
  <si>
    <t>Selection was based exclusively on pre-2022 development results. No 2022–2025 holdout observations were used to select the algorithm or predictor group.</t>
  </si>
  <si>
    <t>Script 20 model-family comparison; Script 22 development-stage lock</t>
  </si>
  <si>
    <t>The final locked specification uses factor(fips), year_centered, lag1_yield, W01–W06, and E02–E04. The specification must not be altered in response to final holdout performance.</t>
  </si>
  <si>
    <t>M24</t>
  </si>
  <si>
    <t>Diagnostic evaluation</t>
  </si>
  <si>
    <t>How will unusually difficult development validation years be identified and interpreted?</t>
  </si>
  <si>
    <t>Identify the three validation years with the highest median RMSE across all nine algorithm × predictor-group specifications, then descriptively examine observed yield behavior, model performance, and weather conditions without using the diagnostic for additional tuning.</t>
  </si>
  <si>
    <t>Advisor feedback; Script 21 difficult-year diagnostic</t>
  </si>
  <si>
    <t>Using median RMSE across the complete modeling framework identifies years that were consistently difficult rather than selecting years visually or because one particular model performed poorly. Median RMSE also limits the influence of one exceptionally poor specification.</t>
  </si>
  <si>
    <t>The diagnostic uses development-period validation results only. It cannot use 2022–2025 data or trigger additional predictor selection, algorithm selection, or tuning.</t>
  </si>
  <si>
    <t>21_difficult_year_diagnostic.R</t>
  </si>
  <si>
    <t>The systematic rule identified 2012, 2013, and 2015. These years exhibited different yield and weather profiles rather than one common difficult-year pattern. No model or predictor changes were made after the diagnostic.</t>
  </si>
  <si>
    <t>M25</t>
  </si>
  <si>
    <t>Development-stage lock</t>
  </si>
  <si>
    <t>When and how will model-development choices be frozen before final evaluation?</t>
  </si>
  <si>
    <t>After development-stage model comparison and the planned difficult-year diagnostic are complete, formally lock the selected algorithm, predictor group, exact model formula, predictor definitions, and development-stage selection evidence before loading or evaluating the 2022–2025 holdout.</t>
  </si>
  <si>
    <t>Scripts 20–22; leakage safeguards established in M11 and M20</t>
  </si>
  <si>
    <t>Creates an auditable boundary between model development and final evaluation and prevents post-holdout changes to the modeling strategy.</t>
  </si>
  <si>
    <t>The 2022–2025 holdout must remain unused until the development-stage lock has been written and verified.</t>
  </si>
  <si>
    <t>22_development_stage_lock.R; output/development_stage_lock/</t>
  </si>
  <si>
    <t>M26</t>
  </si>
  <si>
    <t>Final holdout evaluation</t>
  </si>
  <si>
    <t>How will the locked model be evaluated on the final holdout, and what was the result?</t>
  </si>
  <si>
    <t>Fit the locked Linear Regression Group 3 specification using the complete 2001–2021 development dataset and evaluate it once on the previously untouched 2022–2025 final holdout. Holdout performance will not be used to change the model, predictors, or tuning decisions.</t>
  </si>
  <si>
    <t>Script 22 development-stage lock; Script 23 final holdout evaluation</t>
  </si>
  <si>
    <t>Provides a final out-of-sample assessment of the model selected entirely from pre-2022 development data and evaluates how well the locked specification generalizes to later growing seasons.</t>
  </si>
  <si>
    <t>The 2022–2025 holdout was accessed only after the development-stage specification was formally locked. Holdout results cannot be used for additional tuning, predictor selection, or model-family changes.</t>
  </si>
  <si>
    <t>23_final_holdout_evaluation.R; output/final_holdout_evaluation/</t>
  </si>
  <si>
    <t>The final holdout contained 247 county-year observations across 82 counties. Pooled RMSE = 11.97 bu/acre, MAE = 9.79 bu/acre, and R² = 0.392. Mean residual = 0.794 bu/acre. No model changes were made after holdout evaluation.</t>
  </si>
  <si>
    <t>Proposal; advisor feedback; Scripts 22–23 development-stage lock and final holdout evaluation</t>
  </si>
  <si>
    <t>The 2022–2025 holdout remained unused until the development-stage model was formally locked in Script 22. Script 23 then evaluated the locked Linear Regression Group 3 specification on 247 county-year observations across 82 counties. No post-holdout model or predictor changes were made.</t>
  </si>
  <si>
    <t>Scripts 17–20 development-stage evaluation; Script 23 final holdout evaluation</t>
  </si>
  <si>
    <t>Final holdout evaluation followed the prespecified metric hierarchy. Across 247 holdout observations, RMSE was 11.97 bu/acre, MAE was 9.79 bu/acre, and R² was 0.392. Year-specific metrics were also calculated for 2022–2025.</t>
  </si>
  <si>
    <t>Script 22 locked Linear Regression + Group 3. No new model fitting, tuning, or predictor changes occurred in Script 22, and the checkpoint explicitly records final_holdout_used = FALSE. Script 23 subsequently loaded the saved lock object and used the exact locked formula for final evaluation. The holdout evaluation record confirms model_changed_after_holdout = FALSE.</t>
  </si>
  <si>
    <t>Use county-level error summaries from the 2012–2021 development-stage rolling-validation predictions to examine geographic variation in model performance. Map county RMSE for the selected Linear Regression Group 3 specification and the change in county RMSE from Group 1 to Group 3. Spatial results are descriptive only and will not be used to modify the selected model.</t>
  </si>
  <si>
    <t>He &amp; Luo (2026); Li et al. (2026); Sajid et al. (2022); advisor feedback; Script 17 development-stage validation predictions</t>
  </si>
  <si>
    <t>Development-stage rolling validation provides more repeated evaluation years per county than the four-year final holdout and allows geographic patterns in prediction error and the added value of weather information to be examined more meaningfully.</t>
  </si>
  <si>
    <t>Spatial comparisons use pre-2022 validation predictions only. Spatial results are descriptive and cannot be used for additional feature selection, tuning, or model changes. Counties with fewer observed validation years will be interpreted cautiously rather than treated as having equally precise error estimates.</t>
  </si>
  <si>
    <t>Assess meaningful predictor-group differences using the magnitude and consistency of development-stage predictive performance rather than a formal significance test. Comparisons will use pooled RMSE and MAE differences and percent reductions, year-specific performance differences and win counts, and sensitivity analysis excluding the unusually difficult 2012 validation year.</t>
  </si>
  <si>
    <t>Qu et al. (2024); Stracqualursi (2026); advisor feedback; Scripts 17–20 development-stage model comparisons</t>
  </si>
  <si>
    <t>The research question concerns predictive value rather than statistical significance. Effect magnitude, consistency across rolling-validation years, and sensitivity analyses provide a more appropriate assessment of practical predictive improvement given the limited number of validation years and dependence among county-year errors.</t>
  </si>
  <si>
    <t>All predictor-group comparisons use pre-2022 development-stage validation only. The final 2022–2025 holdout is used only to evaluate the locked model and is not used to reopen predictor-group or model-family comparisons.</t>
  </si>
  <si>
    <t>Scripts 17–20 pooled and yearly performance comparisons, incremental RMSE/MAE comparisons, yearly win counts, and sensitivity analyses</t>
  </si>
  <si>
    <t>No formal p-value-based comparison will be reported. Performance differences will be interpreted in terms of effect magnitude, direction, consistency across years, and robustness to the 2012 sensitivity analysis.</t>
  </si>
  <si>
    <t>24_spatial_error_diagnostic.R; output/spatial_error_diagnostic/</t>
  </si>
  <si>
    <t>Development-stage spatial diagnostic completed using 2012–2021 Linear Regression rolling-validation predictions. Eighty-nine counties had eligible validation observations; Brown, Crawford, and Perry did not. Group 3 produced lower county-level RMSE than Group 1 in 78 of 89 evaluated counties (87.6%). Median county RMSE reduction was 11.33 bu/acre, with a median percentage reduction of 35.7%. Spatial analysis was descriptive only and no model changes were made.</t>
  </si>
  <si>
    <t>Script 23 pooled and year-specific final holdout evaluation; Script 24 county-level development-stage spatial diagnostic</t>
  </si>
  <si>
    <t>Pooled and individual-year performance were evaluated on the 2022–2025 final holdout in Script 23. County-level performance was examined descriptively in Script 24 using 2012–2021 rolling-validation predictions, which provided more repeated observations per county than the four-year holdout. Eighty-nine counties were evaluated, with a median of 9 validation observations per county. The county-level diagnostic was not used to modify the selected model.</t>
  </si>
  <si>
    <t>Project folders / scripts / methodology decision table / output/development_stage_lock/ / output/final_holdout_evaluation/ / output/spatial_error_diagnostic/</t>
  </si>
  <si>
    <t>Script 22 preserved the machine-readable development-stage lock and pre-holdout checkpoint. Script 23 preserved the final fitted model, prediction-level holdout results, pooled and yearly performance metrics, model-fit audit, bias summary, development-versus-holdout comparison, and final diagnostic figures. Script 24 preserved county-level validation coverage, Group 1 versus Group 3 county error comparisons, spatial summary results, and final diagnostic maps.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</si>
</sst>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i/>
      <sz val="11"/>
      <color rgb="FF1F1F1F"/>
      <name val="Carlito"/>
    </font>
    <font>
      <b/>
      <sz val="11"/>
      <color rgb="FFFFFFFF"/>
      <name val="Carlito"/>
    </font>
    <font>
      <i/>
      <sz val="11"/>
      <color rgb="FF1F4E78"/>
      <name val="Carlito"/>
    </font>
    <font>
      <sz val="11"/>
      <name val="Carlito"/>
    </font>
    <font>
      <sz val="11"/>
      <name val="Cascadia Code"/>
      <family val="3"/>
    </font>
    <font>
      <i/>
      <sz val="11"/>
      <color rgb="FF4F4F4F"/>
      <name val="Carlito"/>
    </font>
  </fonts>
  <fills count="12">
    <fill>
      <patternFill patternType="none"/>
    </fill>
    <fill>
      <patternFill patternType="gray125"/>
    </fill>
    <fill>
      <patternFill patternType="solid">
        <fgColor rgb="FF1F4E78"/>
      </patternFill>
    </fill>
    <fill>
      <patternFill patternType="solid">
        <fgColor rgb="FFD9EAF7"/>
      </patternFill>
    </fill>
    <fill>
      <patternFill patternType="solid">
        <fgColor rgb="FFF3F6F8"/>
      </patternFill>
    </fill>
    <fill>
      <patternFill patternType="solid">
        <fgColor rgb="FFEAF2F8"/>
      </patternFill>
    </fill>
    <fill>
      <patternFill patternType="solid">
        <fgColor rgb="FFB7DEEF"/>
      </patternFill>
    </fill>
    <fill>
      <patternFill patternType="solid">
        <fgColor rgb="FFE2F0D9"/>
      </patternFill>
    </fill>
    <fill>
      <patternFill patternType="solid">
        <fgColor rgb="FFFFFFFF"/>
      </patternFill>
    </fill>
    <fill>
      <patternFill patternType="solid">
        <fgColor rgb="FF1F5B85"/>
      </patternFill>
    </fill>
    <fill>
      <patternFill patternType="solid">
        <fgColor rgb="FFD9EEF8"/>
      </patternFill>
    </fill>
    <fill>
      <patternFill patternType="solid">
        <fgColor rgb="FFE7E6E6"/>
      </patternFill>
    </fill>
  </fills>
  <borders count="2">
    <border>
      <left/>
      <right/>
      <top/>
      <bottom/>
      <diagonal/>
    </border>
    <border>
      <left/>
      <right/>
      <top/>
      <bottom/>
      <diagonal/>
    </border>
  </borders>
  <cellStyleXfs count="2">
    <xf numFmtId="0" fontId="0" fillId="0" borderId="0"/>
    <xf numFmtId="0" fontId="5" fillId="0" borderId="1"/>
  </cellStyleXfs>
  <cellXfs count="22">
    <xf numFmtId="0" fontId="0" fillId="0" borderId="0" xfId="0"/>
    <xf numFmtId="0" fontId="3" fillId="2" borderId="0" xfId="0" applyFont="1" applyFill="1" applyAlignment="1">
      <alignment horizontal="center" wrapText="1"/>
    </xf>
    <xf numFmtId="0" fontId="3"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5" fillId="0" borderId="1" xfId="1"/>
    <xf numFmtId="0" fontId="5" fillId="6" borderId="1" xfId="1" applyFill="1" applyAlignment="1">
      <alignment vertical="top" wrapText="1"/>
    </xf>
    <xf numFmtId="0" fontId="5" fillId="7" borderId="1" xfId="1" applyFill="1" applyAlignment="1">
      <alignment vertical="top" wrapText="1"/>
    </xf>
    <xf numFmtId="0" fontId="5" fillId="8" borderId="1" xfId="1" applyFill="1" applyAlignment="1">
      <alignment vertical="top" wrapText="1"/>
    </xf>
    <xf numFmtId="0" fontId="3" fillId="9" borderId="1" xfId="1" applyFont="1" applyFill="1" applyAlignment="1">
      <alignment horizontal="center" vertical="center" wrapText="1"/>
    </xf>
    <xf numFmtId="0" fontId="5" fillId="11" borderId="1" xfId="1" applyFill="1" applyAlignment="1">
      <alignment vertical="top" wrapText="1"/>
    </xf>
    <xf numFmtId="14" fontId="0" fillId="0" borderId="0" xfId="0" applyNumberFormat="1" applyAlignment="1">
      <alignment wrapText="1"/>
    </xf>
    <xf numFmtId="14" fontId="0" fillId="0" borderId="0" xfId="0" applyNumberFormat="1"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wrapText="1"/>
    </xf>
    <xf numFmtId="0" fontId="0" fillId="4" borderId="0" xfId="0" applyFill="1" applyAlignment="1">
      <alignment vertical="top" wrapText="1"/>
    </xf>
    <xf numFmtId="0" fontId="4" fillId="5" borderId="0" xfId="0" applyFont="1" applyFill="1" applyAlignment="1">
      <alignment vertical="center" wrapText="1"/>
    </xf>
    <xf numFmtId="0" fontId="3" fillId="9" borderId="1" xfId="1" applyFont="1" applyFill="1" applyAlignment="1">
      <alignment horizontal="center" vertical="center"/>
    </xf>
    <xf numFmtId="0" fontId="7" fillId="10" borderId="1" xfId="1" applyFont="1" applyFill="1" applyAlignment="1">
      <alignment horizontal="center" vertical="center"/>
    </xf>
    <xf numFmtId="0" fontId="3" fillId="9" borderId="1" xfId="1" applyFont="1" applyFill="1" applyAlignment="1">
      <alignment horizontal="center" vertical="center" wrapText="1"/>
    </xf>
    <xf numFmtId="0" fontId="5" fillId="4" borderId="1" xfId="1" applyFill="1" applyAlignment="1">
      <alignment vertical="top" wrapText="1"/>
    </xf>
  </cellXfs>
  <cellStyles count="2">
    <cellStyle name="Normal" xfId="0" builtinId="0"/>
    <cellStyle name="Normal 2" xfId="1" xr:uid="{BD758D63-8460-4958-B8D6-FC776CB20557}"/>
  </cellStyles>
  <dxfs count="19">
    <dxf>
      <fill>
        <patternFill>
          <bgColor rgb="FFE7E6E6"/>
        </patternFill>
      </fill>
    </dxf>
    <dxf>
      <fill>
        <patternFill>
          <bgColor rgb="FFFFF2CC"/>
        </patternFill>
      </fill>
    </dxf>
    <dxf>
      <fill>
        <patternFill>
          <bgColor rgb="FFE2F0D9"/>
        </patternFill>
      </fill>
    </dxf>
    <dxf>
      <font>
        <b/>
        <color rgb="FF9C0006"/>
      </font>
      <fill>
        <patternFill patternType="solid">
          <bgColor rgb="FFFCE4D6"/>
        </patternFill>
      </fill>
    </dxf>
    <dxf>
      <font>
        <b/>
        <color rgb="FF7F6000"/>
      </font>
      <fill>
        <patternFill patternType="solid">
          <bgColor rgb="FFFFF2CC"/>
        </patternFill>
      </fill>
    </dxf>
    <dxf>
      <font>
        <b/>
        <color rgb="FF375623"/>
      </font>
      <fill>
        <patternFill patternType="solid">
          <bgColor rgb="FFE2F0D9"/>
        </patternFill>
      </fill>
    </dxf>
    <dxf>
      <alignment textRotation="0" wrapText="1" indent="0" justifyLastLine="0" shrinkToFit="0" readingOrder="0"/>
    </dxf>
    <dxf>
      <numFmt numFmtId="19" formatCode="m/d/yyyy"/>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thodologyDecisionsTable" displayName="MethodologyDecisionsTable" ref="A10:K36" totalsRowShown="0" headerRowDxfId="18" dataDxfId="17">
  <tableColumns count="11">
    <tableColumn id="1" xr3:uid="{00000000-0010-0000-0000-000001000000}" name="Decision ID" dataDxfId="16"/>
    <tableColumn id="2" xr3:uid="{00000000-0010-0000-0000-000002000000}" name="Category" dataDxfId="15"/>
    <tableColumn id="3" xr3:uid="{00000000-0010-0000-0000-000003000000}" name="Decision Question" dataDxfId="14"/>
    <tableColumn id="4" xr3:uid="{00000000-0010-0000-0000-000004000000}" name="Current Decision" dataDxfId="13"/>
    <tableColumn id="5" xr3:uid="{00000000-0010-0000-0000-000005000000}" name="Status" dataDxfId="12"/>
    <tableColumn id="6" xr3:uid="{00000000-0010-0000-0000-000006000000}" name="Evidence / Basis" dataDxfId="11"/>
    <tableColumn id="7" xr3:uid="{00000000-0010-0000-0000-000007000000}" name="Rationale" dataDxfId="10"/>
    <tableColumn id="8" xr3:uid="{00000000-0010-0000-0000-000008000000}" name="Leakage / Bias Consideration" dataDxfId="9"/>
    <tableColumn id="9" xr3:uid="{00000000-0010-0000-0000-000009000000}" name="Implementation" dataDxfId="8"/>
    <tableColumn id="10" xr3:uid="{00000000-0010-0000-0000-00000A000000}" name="Date Locked" dataDxfId="7"/>
    <tableColumn id="11" xr3:uid="{00000000-0010-0000-0000-00000B000000}" name="Notes" dataDxfId="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zoomScale="80" zoomScaleNormal="80" workbookViewId="0">
      <selection activeCell="A2" sqref="A2:K2"/>
    </sheetView>
  </sheetViews>
  <sheetFormatPr defaultRowHeight="13.5"/>
  <cols>
    <col min="1" max="1" width="11" style="3" customWidth="1"/>
    <col min="2" max="2" width="19" style="3" customWidth="1"/>
    <col min="3" max="3" width="30" style="3" customWidth="1"/>
    <col min="4" max="4" width="42" style="3" customWidth="1"/>
    <col min="5" max="5" width="18" style="3" customWidth="1"/>
    <col min="6" max="6" width="32" style="3" customWidth="1"/>
    <col min="7" max="7" width="38" style="3" customWidth="1"/>
    <col min="8" max="8" width="42" style="3" customWidth="1"/>
    <col min="9" max="9" width="28" style="3" customWidth="1"/>
    <col min="10" max="10" width="14" style="3" customWidth="1"/>
    <col min="11" max="11" width="34" style="3" customWidth="1"/>
    <col min="12" max="16384" width="9" style="3"/>
  </cols>
  <sheetData>
    <row r="1" spans="1:11" ht="14" customHeight="1">
      <c r="A1" s="13" t="s">
        <v>0</v>
      </c>
      <c r="B1" s="13"/>
      <c r="C1" s="13"/>
      <c r="D1" s="13"/>
      <c r="E1" s="13"/>
      <c r="F1" s="13"/>
      <c r="G1" s="13"/>
      <c r="H1" s="13"/>
      <c r="I1" s="13"/>
      <c r="J1" s="13"/>
      <c r="K1" s="13"/>
    </row>
    <row r="2" spans="1:11" ht="12" customHeight="1">
      <c r="A2" s="14" t="s">
        <v>1</v>
      </c>
      <c r="B2" s="14"/>
      <c r="C2" s="14"/>
      <c r="D2" s="14"/>
      <c r="E2" s="14"/>
      <c r="F2" s="14"/>
      <c r="G2" s="14"/>
      <c r="H2" s="14"/>
      <c r="I2" s="14"/>
      <c r="J2" s="14"/>
      <c r="K2" s="14"/>
    </row>
    <row r="4" spans="1:11" ht="11" customHeight="1">
      <c r="A4" s="1" t="s">
        <v>2</v>
      </c>
      <c r="B4" s="1" t="s">
        <v>3</v>
      </c>
      <c r="D4" s="15" t="s">
        <v>4</v>
      </c>
      <c r="E4" s="15"/>
      <c r="F4" s="15"/>
      <c r="G4" s="15"/>
      <c r="H4" s="15"/>
      <c r="I4" s="15"/>
      <c r="J4" s="15"/>
      <c r="K4" s="15"/>
    </row>
    <row r="5" spans="1:11" ht="14" customHeight="1">
      <c r="A5" s="3" t="s">
        <v>5</v>
      </c>
      <c r="B5" s="3">
        <f>COUNTIF(E11:E36,"Final")</f>
        <v>26</v>
      </c>
      <c r="D5" s="16" t="s">
        <v>6</v>
      </c>
      <c r="E5" s="16"/>
      <c r="F5" s="16"/>
      <c r="G5" s="16"/>
      <c r="H5" s="16"/>
      <c r="I5" s="16"/>
      <c r="J5" s="16"/>
      <c r="K5" s="16"/>
    </row>
    <row r="6" spans="1:11" ht="14" customHeight="1">
      <c r="A6" s="3" t="s">
        <v>7</v>
      </c>
      <c r="B6" s="3">
        <f>COUNTIF(E11:E36,"Provisional")</f>
        <v>0</v>
      </c>
      <c r="D6" s="16"/>
      <c r="E6" s="16"/>
      <c r="F6" s="16"/>
      <c r="G6" s="16"/>
      <c r="H6" s="16"/>
      <c r="I6" s="16"/>
      <c r="J6" s="16"/>
      <c r="K6" s="16"/>
    </row>
    <row r="7" spans="1:11" ht="14" customHeight="1">
      <c r="A7" s="3" t="s">
        <v>8</v>
      </c>
      <c r="B7" s="3">
        <f>COUNTIF(E11:E36,"Needs Advisor Input")</f>
        <v>0</v>
      </c>
      <c r="D7" s="16"/>
      <c r="E7" s="16"/>
      <c r="F7" s="16"/>
      <c r="G7" s="16"/>
      <c r="H7" s="16"/>
      <c r="I7" s="16"/>
      <c r="J7" s="16"/>
      <c r="K7" s="16"/>
    </row>
    <row r="10" spans="1:11" ht="18" customHeight="1">
      <c r="A10" s="2" t="s">
        <v>9</v>
      </c>
      <c r="B10" s="2" t="s">
        <v>10</v>
      </c>
      <c r="C10" s="2" t="s">
        <v>11</v>
      </c>
      <c r="D10" s="2" t="s">
        <v>12</v>
      </c>
      <c r="E10" s="2" t="s">
        <v>13</v>
      </c>
      <c r="F10" s="2" t="s">
        <v>14</v>
      </c>
      <c r="G10" s="2" t="s">
        <v>15</v>
      </c>
      <c r="H10" s="2" t="s">
        <v>16</v>
      </c>
      <c r="I10" s="2" t="s">
        <v>17</v>
      </c>
      <c r="J10" s="2" t="s">
        <v>18</v>
      </c>
      <c r="K10" s="2" t="s">
        <v>19</v>
      </c>
    </row>
    <row r="11" spans="1:11" ht="27">
      <c r="A11" s="4" t="s">
        <v>20</v>
      </c>
      <c r="B11" s="4" t="s">
        <v>21</v>
      </c>
      <c r="C11" s="4" t="s">
        <v>22</v>
      </c>
      <c r="D11" s="4" t="s">
        <v>23</v>
      </c>
      <c r="E11" s="4" t="s">
        <v>5</v>
      </c>
      <c r="F11" s="4" t="s">
        <v>24</v>
      </c>
      <c r="G11" s="4" t="s">
        <v>25</v>
      </c>
      <c r="H11" s="4" t="s">
        <v>26</v>
      </c>
      <c r="I11" s="4" t="s">
        <v>27</v>
      </c>
      <c r="J11" s="12">
        <v>46279</v>
      </c>
      <c r="K11" s="4" t="s">
        <v>28</v>
      </c>
    </row>
    <row r="12" spans="1:11" ht="40.5">
      <c r="A12" s="4" t="s">
        <v>29</v>
      </c>
      <c r="B12" s="4" t="s">
        <v>30</v>
      </c>
      <c r="C12" s="4" t="s">
        <v>31</v>
      </c>
      <c r="D12" s="4" t="s">
        <v>32</v>
      </c>
      <c r="E12" s="4" t="s">
        <v>5</v>
      </c>
      <c r="F12" s="4" t="s">
        <v>33</v>
      </c>
      <c r="G12" s="4" t="s">
        <v>34</v>
      </c>
      <c r="H12" s="4" t="s">
        <v>35</v>
      </c>
      <c r="I12" s="4" t="s">
        <v>36</v>
      </c>
      <c r="J12" s="12">
        <v>46279</v>
      </c>
      <c r="K12" s="4" t="s">
        <v>37</v>
      </c>
    </row>
    <row r="13" spans="1:11" ht="27">
      <c r="A13" s="4" t="s">
        <v>38</v>
      </c>
      <c r="B13" s="4" t="s">
        <v>39</v>
      </c>
      <c r="C13" s="4" t="s">
        <v>40</v>
      </c>
      <c r="D13" s="4" t="s">
        <v>41</v>
      </c>
      <c r="E13" s="4" t="s">
        <v>5</v>
      </c>
      <c r="F13" s="4" t="s">
        <v>42</v>
      </c>
      <c r="G13" s="4" t="s">
        <v>43</v>
      </c>
      <c r="H13" s="4" t="s">
        <v>44</v>
      </c>
      <c r="I13" s="4" t="s">
        <v>45</v>
      </c>
      <c r="J13" s="12">
        <v>46279</v>
      </c>
      <c r="K13" s="4" t="s">
        <v>46</v>
      </c>
    </row>
    <row r="14" spans="1:11" ht="40.5">
      <c r="A14" s="4" t="s">
        <v>47</v>
      </c>
      <c r="B14" s="4" t="s">
        <v>48</v>
      </c>
      <c r="C14" s="4" t="s">
        <v>49</v>
      </c>
      <c r="D14" s="4" t="s">
        <v>50</v>
      </c>
      <c r="E14" s="4" t="s">
        <v>5</v>
      </c>
      <c r="F14" s="4" t="s">
        <v>51</v>
      </c>
      <c r="G14" s="4" t="s">
        <v>52</v>
      </c>
      <c r="H14" s="4" t="s">
        <v>53</v>
      </c>
      <c r="I14" s="4" t="s">
        <v>54</v>
      </c>
      <c r="J14" s="12">
        <v>46279</v>
      </c>
      <c r="K14" s="4" t="s">
        <v>55</v>
      </c>
    </row>
    <row r="15" spans="1:11" ht="108">
      <c r="A15" s="4" t="s">
        <v>56</v>
      </c>
      <c r="B15" s="4" t="s">
        <v>57</v>
      </c>
      <c r="C15" s="4" t="s">
        <v>163</v>
      </c>
      <c r="D15" s="4" t="s">
        <v>164</v>
      </c>
      <c r="E15" s="4" t="s">
        <v>5</v>
      </c>
      <c r="F15" s="4" t="s">
        <v>58</v>
      </c>
      <c r="G15" s="4" t="s">
        <v>165</v>
      </c>
      <c r="H15" s="4" t="s">
        <v>166</v>
      </c>
      <c r="I15" s="4" t="s">
        <v>167</v>
      </c>
      <c r="J15" s="12">
        <v>46266</v>
      </c>
      <c r="K15" s="4" t="s">
        <v>331</v>
      </c>
    </row>
    <row r="16" spans="1:11" ht="175.5">
      <c r="A16" s="4" t="s">
        <v>59</v>
      </c>
      <c r="B16" s="4" t="s">
        <v>60</v>
      </c>
      <c r="C16" s="4" t="s">
        <v>168</v>
      </c>
      <c r="D16" s="4" t="s">
        <v>170</v>
      </c>
      <c r="E16" s="4" t="s">
        <v>5</v>
      </c>
      <c r="F16" s="4" t="s">
        <v>171</v>
      </c>
      <c r="G16" s="4" t="s">
        <v>172</v>
      </c>
      <c r="H16" s="4" t="s">
        <v>173</v>
      </c>
      <c r="I16" s="4" t="s">
        <v>174</v>
      </c>
      <c r="J16" s="12">
        <v>46266</v>
      </c>
      <c r="K16" s="4" t="s">
        <v>175</v>
      </c>
    </row>
    <row r="17" spans="1:11" ht="40.5">
      <c r="A17" s="4" t="s">
        <v>61</v>
      </c>
      <c r="B17" s="4" t="s">
        <v>62</v>
      </c>
      <c r="C17" s="4" t="s">
        <v>63</v>
      </c>
      <c r="D17" s="4" t="s">
        <v>64</v>
      </c>
      <c r="E17" s="4" t="s">
        <v>5</v>
      </c>
      <c r="F17" s="4" t="s">
        <v>65</v>
      </c>
      <c r="G17" s="4" t="s">
        <v>66</v>
      </c>
      <c r="H17" s="4" t="s">
        <v>67</v>
      </c>
      <c r="I17" s="4" t="s">
        <v>68</v>
      </c>
      <c r="J17" s="12"/>
      <c r="K17" s="4" t="s">
        <v>69</v>
      </c>
    </row>
    <row r="18" spans="1:11" ht="94.5">
      <c r="A18" s="4" t="s">
        <v>70</v>
      </c>
      <c r="B18" s="4" t="s">
        <v>71</v>
      </c>
      <c r="C18" s="4" t="s">
        <v>72</v>
      </c>
      <c r="D18" s="4" t="s">
        <v>337</v>
      </c>
      <c r="E18" s="4" t="s">
        <v>5</v>
      </c>
      <c r="F18" s="4" t="s">
        <v>339</v>
      </c>
      <c r="G18" s="4" t="s">
        <v>338</v>
      </c>
      <c r="H18" s="4" t="s">
        <v>73</v>
      </c>
      <c r="I18" s="4" t="s">
        <v>341</v>
      </c>
      <c r="J18" s="12">
        <v>46287</v>
      </c>
      <c r="K18" s="4" t="s">
        <v>340</v>
      </c>
    </row>
    <row r="19" spans="1:11" ht="40.5">
      <c r="A19" s="4" t="s">
        <v>74</v>
      </c>
      <c r="B19" s="4" t="s">
        <v>75</v>
      </c>
      <c r="C19" s="4" t="s">
        <v>76</v>
      </c>
      <c r="D19" s="4" t="s">
        <v>77</v>
      </c>
      <c r="E19" s="4" t="s">
        <v>5</v>
      </c>
      <c r="F19" s="4" t="s">
        <v>78</v>
      </c>
      <c r="G19" s="4" t="s">
        <v>79</v>
      </c>
      <c r="H19" s="4" t="s">
        <v>80</v>
      </c>
      <c r="I19" s="4" t="s">
        <v>81</v>
      </c>
      <c r="J19" s="12"/>
      <c r="K19" s="4" t="s">
        <v>82</v>
      </c>
    </row>
    <row r="20" spans="1:11" ht="162">
      <c r="A20" s="4" t="s">
        <v>83</v>
      </c>
      <c r="B20" s="4" t="s">
        <v>84</v>
      </c>
      <c r="C20" s="4" t="s">
        <v>85</v>
      </c>
      <c r="D20" s="4" t="s">
        <v>347</v>
      </c>
      <c r="E20" s="4" t="s">
        <v>5</v>
      </c>
      <c r="F20" s="4" t="s">
        <v>86</v>
      </c>
      <c r="G20" s="4" t="s">
        <v>332</v>
      </c>
      <c r="H20" s="4" t="s">
        <v>169</v>
      </c>
      <c r="I20" s="4" t="s">
        <v>348</v>
      </c>
      <c r="J20" s="12">
        <v>46279</v>
      </c>
      <c r="K20" s="4" t="s">
        <v>333</v>
      </c>
    </row>
    <row r="21" spans="1:11" ht="108">
      <c r="A21" s="4" t="s">
        <v>87</v>
      </c>
      <c r="B21" s="4" t="s">
        <v>88</v>
      </c>
      <c r="C21" s="4" t="s">
        <v>89</v>
      </c>
      <c r="D21" s="4" t="s">
        <v>90</v>
      </c>
      <c r="E21" s="4" t="s">
        <v>5</v>
      </c>
      <c r="F21" s="4" t="s">
        <v>396</v>
      </c>
      <c r="G21" s="4" t="s">
        <v>91</v>
      </c>
      <c r="H21" s="4" t="s">
        <v>92</v>
      </c>
      <c r="I21" s="4" t="s">
        <v>391</v>
      </c>
      <c r="J21" s="12">
        <v>46279</v>
      </c>
      <c r="K21" s="4" t="s">
        <v>397</v>
      </c>
    </row>
    <row r="22" spans="1:11" ht="40.5">
      <c r="A22" s="4" t="s">
        <v>93</v>
      </c>
      <c r="B22" s="4" t="s">
        <v>94</v>
      </c>
      <c r="C22" s="4" t="s">
        <v>95</v>
      </c>
      <c r="D22" s="4" t="s">
        <v>96</v>
      </c>
      <c r="E22" s="4" t="s">
        <v>5</v>
      </c>
      <c r="F22" s="4" t="s">
        <v>97</v>
      </c>
      <c r="G22" s="4" t="s">
        <v>98</v>
      </c>
      <c r="H22" s="4" t="s">
        <v>99</v>
      </c>
      <c r="I22" s="4" t="s">
        <v>100</v>
      </c>
      <c r="J22" s="12">
        <v>46279</v>
      </c>
      <c r="K22" s="4" t="s">
        <v>101</v>
      </c>
    </row>
    <row r="23" spans="1:11" ht="67.5">
      <c r="A23" s="4" t="s">
        <v>102</v>
      </c>
      <c r="B23" s="4" t="s">
        <v>103</v>
      </c>
      <c r="C23" s="4" t="s">
        <v>104</v>
      </c>
      <c r="D23" s="4" t="s">
        <v>105</v>
      </c>
      <c r="E23" s="4" t="s">
        <v>5</v>
      </c>
      <c r="F23" s="4" t="s">
        <v>349</v>
      </c>
      <c r="G23" s="4" t="s">
        <v>106</v>
      </c>
      <c r="H23" s="4" t="s">
        <v>107</v>
      </c>
      <c r="I23" s="4" t="s">
        <v>350</v>
      </c>
      <c r="J23" s="12">
        <v>46279</v>
      </c>
      <c r="K23" s="4" t="s">
        <v>351</v>
      </c>
    </row>
    <row r="24" spans="1:11" ht="40.5">
      <c r="A24" s="4" t="s">
        <v>108</v>
      </c>
      <c r="B24" s="4" t="s">
        <v>109</v>
      </c>
      <c r="C24" s="4" t="s">
        <v>110</v>
      </c>
      <c r="D24" s="4" t="s">
        <v>111</v>
      </c>
      <c r="E24" s="4" t="s">
        <v>5</v>
      </c>
      <c r="F24" s="4" t="s">
        <v>112</v>
      </c>
      <c r="G24" s="4" t="s">
        <v>113</v>
      </c>
      <c r="H24" s="4" t="s">
        <v>114</v>
      </c>
      <c r="I24" s="4" t="s">
        <v>115</v>
      </c>
      <c r="J24" s="12">
        <v>46279</v>
      </c>
      <c r="K24" s="4" t="s">
        <v>116</v>
      </c>
    </row>
    <row r="25" spans="1:11" ht="81">
      <c r="A25" s="4" t="s">
        <v>117</v>
      </c>
      <c r="B25" s="4" t="s">
        <v>118</v>
      </c>
      <c r="C25" s="4" t="s">
        <v>119</v>
      </c>
      <c r="D25" s="4" t="s">
        <v>120</v>
      </c>
      <c r="E25" s="4" t="s">
        <v>5</v>
      </c>
      <c r="F25" s="4" t="s">
        <v>121</v>
      </c>
      <c r="G25" s="4" t="s">
        <v>122</v>
      </c>
      <c r="H25" s="4" t="s">
        <v>123</v>
      </c>
      <c r="I25" s="4" t="s">
        <v>398</v>
      </c>
      <c r="J25" s="12">
        <v>46279</v>
      </c>
      <c r="K25" s="4" t="s">
        <v>399</v>
      </c>
    </row>
    <row r="26" spans="1:11" ht="162">
      <c r="A26" s="4" t="s">
        <v>124</v>
      </c>
      <c r="B26" s="4" t="s">
        <v>125</v>
      </c>
      <c r="C26" s="4" t="s">
        <v>126</v>
      </c>
      <c r="D26" s="4" t="s">
        <v>127</v>
      </c>
      <c r="E26" s="4" t="s">
        <v>5</v>
      </c>
      <c r="F26" s="4" t="s">
        <v>128</v>
      </c>
      <c r="G26" s="4" t="s">
        <v>129</v>
      </c>
      <c r="H26" s="4" t="s">
        <v>130</v>
      </c>
      <c r="I26" s="4" t="s">
        <v>413</v>
      </c>
      <c r="J26" s="12">
        <v>46279</v>
      </c>
      <c r="K26" s="4" t="s">
        <v>414</v>
      </c>
    </row>
    <row r="27" spans="1:11" ht="175.5">
      <c r="A27" s="4" t="s">
        <v>131</v>
      </c>
      <c r="B27" s="4" t="s">
        <v>132</v>
      </c>
      <c r="C27" s="4" t="s">
        <v>133</v>
      </c>
      <c r="D27" s="4" t="s">
        <v>401</v>
      </c>
      <c r="E27" s="4" t="s">
        <v>5</v>
      </c>
      <c r="F27" s="4" t="s">
        <v>402</v>
      </c>
      <c r="G27" s="4" t="s">
        <v>403</v>
      </c>
      <c r="H27" s="4" t="s">
        <v>404</v>
      </c>
      <c r="I27" s="4" t="s">
        <v>411</v>
      </c>
      <c r="J27" s="12">
        <v>46313</v>
      </c>
      <c r="K27" s="4" t="s">
        <v>412</v>
      </c>
    </row>
    <row r="28" spans="1:11" ht="121.5">
      <c r="A28" s="4" t="s">
        <v>134</v>
      </c>
      <c r="B28" s="4" t="s">
        <v>135</v>
      </c>
      <c r="C28" s="4" t="s">
        <v>136</v>
      </c>
      <c r="D28" s="4" t="s">
        <v>405</v>
      </c>
      <c r="E28" s="4" t="s">
        <v>5</v>
      </c>
      <c r="F28" s="4" t="s">
        <v>406</v>
      </c>
      <c r="G28" s="4" t="s">
        <v>407</v>
      </c>
      <c r="H28" s="4" t="s">
        <v>408</v>
      </c>
      <c r="I28" s="4" t="s">
        <v>409</v>
      </c>
      <c r="J28" s="12">
        <v>46313</v>
      </c>
      <c r="K28" s="4" t="s">
        <v>410</v>
      </c>
    </row>
    <row r="29" spans="1:11" ht="67.5">
      <c r="A29" s="4" t="s">
        <v>137</v>
      </c>
      <c r="B29" s="4" t="s">
        <v>138</v>
      </c>
      <c r="C29" s="4" t="s">
        <v>139</v>
      </c>
      <c r="D29" s="4" t="s">
        <v>352</v>
      </c>
      <c r="E29" s="4" t="s">
        <v>5</v>
      </c>
      <c r="F29" s="4" t="s">
        <v>353</v>
      </c>
      <c r="G29" s="4" t="s">
        <v>354</v>
      </c>
      <c r="H29" s="4" t="s">
        <v>355</v>
      </c>
      <c r="I29" s="4" t="s">
        <v>356</v>
      </c>
      <c r="J29" s="12">
        <v>46302</v>
      </c>
      <c r="K29" s="4" t="s">
        <v>357</v>
      </c>
    </row>
    <row r="30" spans="1:11" ht="81">
      <c r="A30" s="4" t="s">
        <v>140</v>
      </c>
      <c r="B30" s="4" t="s">
        <v>141</v>
      </c>
      <c r="C30" s="4" t="s">
        <v>142</v>
      </c>
      <c r="D30" s="4" t="s">
        <v>143</v>
      </c>
      <c r="E30" s="4" t="s">
        <v>5</v>
      </c>
      <c r="F30" s="4" t="s">
        <v>358</v>
      </c>
      <c r="G30" s="4" t="s">
        <v>144</v>
      </c>
      <c r="H30" s="4" t="s">
        <v>145</v>
      </c>
      <c r="I30" s="4" t="s">
        <v>359</v>
      </c>
      <c r="J30" s="12">
        <v>46279</v>
      </c>
      <c r="K30" s="4" t="s">
        <v>360</v>
      </c>
    </row>
    <row r="31" spans="1:11" ht="40.5">
      <c r="A31" s="4" t="s">
        <v>146</v>
      </c>
      <c r="B31" s="4" t="s">
        <v>147</v>
      </c>
      <c r="C31" s="4" t="s">
        <v>148</v>
      </c>
      <c r="D31" s="4" t="s">
        <v>149</v>
      </c>
      <c r="E31" s="4" t="s">
        <v>5</v>
      </c>
      <c r="F31" s="4" t="s">
        <v>150</v>
      </c>
      <c r="G31" s="4" t="s">
        <v>151</v>
      </c>
      <c r="H31" s="4" t="s">
        <v>152</v>
      </c>
      <c r="I31" s="4" t="s">
        <v>153</v>
      </c>
      <c r="J31" s="12">
        <v>46279</v>
      </c>
      <c r="K31" s="4" t="s">
        <v>154</v>
      </c>
    </row>
    <row r="32" spans="1:11" ht="175.5">
      <c r="A32" s="4" t="s">
        <v>155</v>
      </c>
      <c r="B32" s="4" t="s">
        <v>156</v>
      </c>
      <c r="C32" s="4" t="s">
        <v>157</v>
      </c>
      <c r="D32" s="4" t="s">
        <v>158</v>
      </c>
      <c r="E32" s="4" t="s">
        <v>5</v>
      </c>
      <c r="F32" s="4" t="s">
        <v>159</v>
      </c>
      <c r="G32" s="4" t="s">
        <v>160</v>
      </c>
      <c r="H32" s="4" t="s">
        <v>161</v>
      </c>
      <c r="I32" s="4" t="s">
        <v>415</v>
      </c>
      <c r="J32" s="12">
        <v>46279</v>
      </c>
      <c r="K32" s="4" t="s">
        <v>416</v>
      </c>
    </row>
    <row r="33" spans="1:11" ht="148.5">
      <c r="A33" s="4" t="s">
        <v>361</v>
      </c>
      <c r="B33" s="4" t="s">
        <v>362</v>
      </c>
      <c r="C33" s="4" t="s">
        <v>363</v>
      </c>
      <c r="D33" s="4" t="s">
        <v>364</v>
      </c>
      <c r="E33" s="4" t="s">
        <v>5</v>
      </c>
      <c r="F33" s="4" t="s">
        <v>365</v>
      </c>
      <c r="G33" s="4" t="s">
        <v>366</v>
      </c>
      <c r="H33" s="4" t="s">
        <v>367</v>
      </c>
      <c r="I33" s="4" t="s">
        <v>368</v>
      </c>
      <c r="J33" s="12">
        <v>46302</v>
      </c>
      <c r="K33" s="4" t="s">
        <v>369</v>
      </c>
    </row>
    <row r="34" spans="1:11" ht="94.5">
      <c r="A34" s="4" t="s">
        <v>370</v>
      </c>
      <c r="B34" s="4" t="s">
        <v>371</v>
      </c>
      <c r="C34" s="4" t="s">
        <v>372</v>
      </c>
      <c r="D34" s="4" t="s">
        <v>373</v>
      </c>
      <c r="E34" s="4" t="s">
        <v>5</v>
      </c>
      <c r="F34" s="4" t="s">
        <v>374</v>
      </c>
      <c r="G34" s="4" t="s">
        <v>375</v>
      </c>
      <c r="H34" s="4" t="s">
        <v>376</v>
      </c>
      <c r="I34" s="4" t="s">
        <v>377</v>
      </c>
      <c r="J34" s="12">
        <v>46302</v>
      </c>
      <c r="K34" s="4" t="s">
        <v>378</v>
      </c>
    </row>
    <row r="35" spans="1:11" ht="135">
      <c r="A35" s="4" t="s">
        <v>379</v>
      </c>
      <c r="B35" s="4" t="s">
        <v>380</v>
      </c>
      <c r="C35" s="4" t="s">
        <v>381</v>
      </c>
      <c r="D35" s="4" t="s">
        <v>382</v>
      </c>
      <c r="E35" s="4" t="s">
        <v>5</v>
      </c>
      <c r="F35" s="4" t="s">
        <v>383</v>
      </c>
      <c r="G35" s="4" t="s">
        <v>384</v>
      </c>
      <c r="H35" s="4" t="s">
        <v>385</v>
      </c>
      <c r="I35" s="4" t="s">
        <v>386</v>
      </c>
      <c r="J35" s="12">
        <v>46302</v>
      </c>
      <c r="K35" s="4" t="s">
        <v>400</v>
      </c>
    </row>
    <row r="36" spans="1:11" ht="94.5">
      <c r="A36" s="3" t="s">
        <v>387</v>
      </c>
      <c r="B36" s="3" t="s">
        <v>388</v>
      </c>
      <c r="C36" s="3" t="s">
        <v>389</v>
      </c>
      <c r="D36" s="3" t="s">
        <v>390</v>
      </c>
      <c r="E36" s="4" t="s">
        <v>5</v>
      </c>
      <c r="F36" s="3" t="s">
        <v>391</v>
      </c>
      <c r="G36" s="3" t="s">
        <v>392</v>
      </c>
      <c r="H36" s="3" t="s">
        <v>393</v>
      </c>
      <c r="I36" s="3" t="s">
        <v>394</v>
      </c>
      <c r="J36" s="11">
        <v>46313</v>
      </c>
      <c r="K36" s="3" t="s">
        <v>395</v>
      </c>
    </row>
    <row r="38" spans="1:11" ht="18" customHeight="1">
      <c r="A38" s="17" t="s">
        <v>162</v>
      </c>
      <c r="B38" s="17"/>
      <c r="C38" s="17"/>
      <c r="D38" s="17"/>
      <c r="E38" s="17"/>
      <c r="F38" s="17"/>
      <c r="G38" s="17"/>
      <c r="H38" s="17"/>
      <c r="I38" s="17"/>
      <c r="J38" s="17"/>
      <c r="K38" s="17"/>
    </row>
  </sheetData>
  <mergeCells count="5">
    <mergeCell ref="A1:K1"/>
    <mergeCell ref="A2:K2"/>
    <mergeCell ref="D4:K4"/>
    <mergeCell ref="D5:K7"/>
    <mergeCell ref="A38:K38"/>
  </mergeCells>
  <conditionalFormatting sqref="E11:E36">
    <cfRule type="expression" dxfId="5" priority="1">
      <formula>E11="Final"</formula>
    </cfRule>
    <cfRule type="expression" dxfId="4" priority="2">
      <formula>E11="Provisional"</formula>
    </cfRule>
    <cfRule type="expression" dxfId="3" priority="3">
      <formula>E11="Needs Advisor Input"</formula>
    </cfRule>
  </conditionalFormatting>
  <dataValidations count="1">
    <dataValidation type="list" sqref="E11:E36" xr:uid="{00000000-0002-0000-0000-000000000000}">
      <formula1>"Final,Provisional,Needs Advisor Input"</formula1>
    </dataValidation>
  </dataValidations>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AD7CF-E9FF-4C73-A1F4-5738D71FF7AC}">
  <dimension ref="A1:M27"/>
  <sheetViews>
    <sheetView zoomScale="80" zoomScaleNormal="80" workbookViewId="0">
      <selection activeCell="L27" sqref="L27"/>
    </sheetView>
  </sheetViews>
  <sheetFormatPr defaultRowHeight="13.5"/>
  <cols>
    <col min="1" max="1" width="11" style="5" customWidth="1"/>
    <col min="2" max="2" width="18" style="5" customWidth="1"/>
    <col min="3" max="4" width="28" style="5" customWidth="1"/>
    <col min="5" max="5" width="20" style="5" customWidth="1"/>
    <col min="6" max="6" width="38" style="5" customWidth="1"/>
    <col min="7" max="7" width="16" style="5" customWidth="1"/>
    <col min="8" max="8" width="34" style="5" customWidth="1"/>
    <col min="9" max="9" width="14" style="5" customWidth="1"/>
    <col min="10" max="10" width="30" style="5" customWidth="1"/>
    <col min="11" max="11" width="38" style="5" customWidth="1"/>
    <col min="12" max="13" width="40" style="5" customWidth="1"/>
    <col min="14" max="16384" width="9" style="5"/>
  </cols>
  <sheetData>
    <row r="1" spans="1:13" ht="14" customHeight="1">
      <c r="A1" s="18" t="s">
        <v>216</v>
      </c>
      <c r="B1" s="18"/>
      <c r="C1" s="18"/>
      <c r="D1" s="18"/>
      <c r="E1" s="18"/>
      <c r="F1" s="18"/>
      <c r="G1" s="18"/>
      <c r="H1" s="18"/>
      <c r="I1" s="18"/>
      <c r="J1" s="18"/>
      <c r="K1" s="18"/>
      <c r="L1" s="18"/>
      <c r="M1" s="18"/>
    </row>
    <row r="2" spans="1:13" ht="11" customHeight="1">
      <c r="A2" s="19" t="s">
        <v>1</v>
      </c>
      <c r="B2" s="19"/>
      <c r="C2" s="19"/>
      <c r="D2" s="19"/>
      <c r="E2" s="19"/>
      <c r="F2" s="19"/>
      <c r="G2" s="19"/>
      <c r="H2" s="19"/>
      <c r="I2" s="19"/>
      <c r="J2" s="19"/>
      <c r="K2" s="19"/>
      <c r="L2" s="19"/>
      <c r="M2" s="19"/>
    </row>
    <row r="4" spans="1:13" ht="27.75">
      <c r="A4" s="9" t="s">
        <v>215</v>
      </c>
      <c r="B4" s="9" t="s">
        <v>3</v>
      </c>
      <c r="D4" s="20" t="s">
        <v>4</v>
      </c>
      <c r="E4" s="20"/>
      <c r="F4" s="20"/>
      <c r="G4" s="20"/>
      <c r="H4" s="20"/>
      <c r="I4" s="20"/>
      <c r="J4" s="20"/>
      <c r="K4" s="20"/>
      <c r="L4" s="20"/>
      <c r="M4" s="20"/>
    </row>
    <row r="5" spans="1:13" ht="14" customHeight="1">
      <c r="A5" s="5" t="s">
        <v>5</v>
      </c>
      <c r="B5" s="5">
        <f>COUNTIF(I11:I200,"Final")</f>
        <v>12</v>
      </c>
      <c r="D5" s="21" t="s">
        <v>214</v>
      </c>
      <c r="E5" s="21"/>
      <c r="F5" s="21"/>
      <c r="G5" s="21"/>
      <c r="H5" s="21"/>
      <c r="I5" s="21"/>
      <c r="J5" s="21"/>
      <c r="K5" s="21"/>
      <c r="L5" s="21"/>
      <c r="M5" s="21"/>
    </row>
    <row r="6" spans="1:13" ht="14" customHeight="1">
      <c r="A6" s="5" t="s">
        <v>7</v>
      </c>
      <c r="B6" s="5">
        <f>COUNTIF(I11:I200,"Provisional")</f>
        <v>0</v>
      </c>
      <c r="D6" s="21"/>
      <c r="E6" s="21"/>
      <c r="F6" s="21"/>
      <c r="G6" s="21"/>
      <c r="H6" s="21"/>
      <c r="I6" s="21"/>
      <c r="J6" s="21"/>
      <c r="K6" s="21"/>
      <c r="L6" s="21"/>
      <c r="M6" s="21"/>
    </row>
    <row r="7" spans="1:13" ht="14" customHeight="1">
      <c r="A7" s="5" t="s">
        <v>213</v>
      </c>
      <c r="B7" s="5">
        <f>COUNTIF(I11:I200,"Excluded")</f>
        <v>5</v>
      </c>
      <c r="D7" s="21"/>
      <c r="E7" s="21"/>
      <c r="F7" s="21"/>
      <c r="G7" s="21"/>
      <c r="H7" s="21"/>
      <c r="I7" s="21"/>
      <c r="J7" s="21"/>
      <c r="K7" s="21"/>
      <c r="L7" s="21"/>
      <c r="M7" s="21"/>
    </row>
    <row r="10" spans="1:13" ht="16.05" customHeight="1">
      <c r="A10" s="9" t="s">
        <v>212</v>
      </c>
      <c r="B10" s="9" t="s">
        <v>211</v>
      </c>
      <c r="C10" s="9" t="s">
        <v>210</v>
      </c>
      <c r="D10" s="9" t="s">
        <v>209</v>
      </c>
      <c r="E10" s="9" t="s">
        <v>186</v>
      </c>
      <c r="F10" s="9" t="s">
        <v>208</v>
      </c>
      <c r="G10" s="9" t="s">
        <v>207</v>
      </c>
      <c r="H10" s="9" t="s">
        <v>206</v>
      </c>
      <c r="I10" s="9" t="s">
        <v>13</v>
      </c>
      <c r="J10" s="9" t="s">
        <v>205</v>
      </c>
      <c r="K10" s="9" t="s">
        <v>15</v>
      </c>
      <c r="L10" s="9" t="s">
        <v>19</v>
      </c>
      <c r="M10" s="9" t="s">
        <v>204</v>
      </c>
    </row>
    <row r="11" spans="1:13" ht="81">
      <c r="A11" s="6" t="s">
        <v>203</v>
      </c>
      <c r="B11" s="6" t="s">
        <v>186</v>
      </c>
      <c r="C11" s="6" t="s">
        <v>202</v>
      </c>
      <c r="D11" s="6" t="s">
        <v>184</v>
      </c>
      <c r="E11" s="6" t="s">
        <v>201</v>
      </c>
      <c r="F11" s="6" t="s">
        <v>200</v>
      </c>
      <c r="G11" s="6" t="s">
        <v>181</v>
      </c>
      <c r="H11" s="6" t="s">
        <v>199</v>
      </c>
      <c r="I11" s="7" t="s">
        <v>5</v>
      </c>
      <c r="J11" s="6" t="s">
        <v>179</v>
      </c>
      <c r="K11" s="6" t="s">
        <v>198</v>
      </c>
      <c r="L11" s="6" t="s">
        <v>197</v>
      </c>
      <c r="M11" s="6" t="s">
        <v>196</v>
      </c>
    </row>
    <row r="12" spans="1:13" ht="67.5">
      <c r="A12" s="8" t="s">
        <v>195</v>
      </c>
      <c r="B12" s="8" t="s">
        <v>186</v>
      </c>
      <c r="C12" s="8" t="s">
        <v>194</v>
      </c>
      <c r="D12" s="8" t="s">
        <v>184</v>
      </c>
      <c r="E12" s="8" t="s">
        <v>193</v>
      </c>
      <c r="F12" s="8" t="s">
        <v>192</v>
      </c>
      <c r="G12" s="8" t="s">
        <v>181</v>
      </c>
      <c r="H12" s="8" t="s">
        <v>191</v>
      </c>
      <c r="I12" s="7" t="s">
        <v>5</v>
      </c>
      <c r="J12" s="8" t="s">
        <v>179</v>
      </c>
      <c r="K12" s="8" t="s">
        <v>190</v>
      </c>
      <c r="L12" s="8" t="s">
        <v>189</v>
      </c>
      <c r="M12" s="8" t="s">
        <v>188</v>
      </c>
    </row>
    <row r="13" spans="1:13" ht="54">
      <c r="A13" s="6" t="s">
        <v>187</v>
      </c>
      <c r="B13" s="6" t="s">
        <v>186</v>
      </c>
      <c r="C13" s="6" t="s">
        <v>185</v>
      </c>
      <c r="D13" s="6" t="s">
        <v>184</v>
      </c>
      <c r="E13" s="6" t="s">
        <v>183</v>
      </c>
      <c r="F13" s="6" t="s">
        <v>182</v>
      </c>
      <c r="G13" s="6" t="s">
        <v>181</v>
      </c>
      <c r="H13" s="6" t="s">
        <v>180</v>
      </c>
      <c r="I13" s="7" t="s">
        <v>5</v>
      </c>
      <c r="J13" s="6" t="s">
        <v>179</v>
      </c>
      <c r="K13" s="6" t="s">
        <v>178</v>
      </c>
      <c r="L13" s="6" t="s">
        <v>177</v>
      </c>
      <c r="M13" s="6" t="s">
        <v>176</v>
      </c>
    </row>
    <row r="14" spans="1:13" ht="40.5">
      <c r="A14" s="6" t="s">
        <v>217</v>
      </c>
      <c r="B14" s="6" t="s">
        <v>218</v>
      </c>
      <c r="C14" s="6" t="s">
        <v>219</v>
      </c>
      <c r="D14" s="6" t="s">
        <v>220</v>
      </c>
      <c r="E14" s="6" t="s">
        <v>221</v>
      </c>
      <c r="F14" s="6" t="s">
        <v>330</v>
      </c>
      <c r="G14" s="6" t="s">
        <v>181</v>
      </c>
      <c r="H14" s="6" t="s">
        <v>222</v>
      </c>
      <c r="I14" s="7" t="s">
        <v>5</v>
      </c>
      <c r="J14" s="6" t="s">
        <v>223</v>
      </c>
      <c r="K14" s="6" t="s">
        <v>329</v>
      </c>
      <c r="L14" s="6" t="s">
        <v>328</v>
      </c>
      <c r="M14" s="6" t="s">
        <v>324</v>
      </c>
    </row>
    <row r="15" spans="1:13" ht="40.5">
      <c r="A15" s="8" t="s">
        <v>224</v>
      </c>
      <c r="B15" s="8" t="s">
        <v>218</v>
      </c>
      <c r="C15" s="8" t="s">
        <v>225</v>
      </c>
      <c r="D15" s="8" t="s">
        <v>226</v>
      </c>
      <c r="E15" s="8" t="s">
        <v>221</v>
      </c>
      <c r="F15" s="8" t="s">
        <v>327</v>
      </c>
      <c r="G15" s="8" t="s">
        <v>181</v>
      </c>
      <c r="H15" s="8" t="s">
        <v>222</v>
      </c>
      <c r="I15" s="7" t="s">
        <v>5</v>
      </c>
      <c r="J15" s="8" t="s">
        <v>223</v>
      </c>
      <c r="K15" s="8" t="s">
        <v>326</v>
      </c>
      <c r="L15" s="8" t="s">
        <v>325</v>
      </c>
      <c r="M15" s="8" t="s">
        <v>324</v>
      </c>
    </row>
    <row r="16" spans="1:13" ht="148.5">
      <c r="A16" s="6" t="s">
        <v>227</v>
      </c>
      <c r="B16" s="6" t="s">
        <v>218</v>
      </c>
      <c r="C16" s="6" t="s">
        <v>228</v>
      </c>
      <c r="D16" s="6" t="s">
        <v>220</v>
      </c>
      <c r="E16" s="6" t="s">
        <v>229</v>
      </c>
      <c r="F16" s="6" t="s">
        <v>323</v>
      </c>
      <c r="G16" s="6" t="s">
        <v>181</v>
      </c>
      <c r="H16" s="6" t="s">
        <v>230</v>
      </c>
      <c r="I16" s="7" t="s">
        <v>5</v>
      </c>
      <c r="J16" s="6" t="s">
        <v>223</v>
      </c>
      <c r="K16" s="6" t="s">
        <v>322</v>
      </c>
      <c r="L16" s="6" t="s">
        <v>342</v>
      </c>
      <c r="M16" s="6" t="s">
        <v>318</v>
      </c>
    </row>
    <row r="17" spans="1:13" ht="40.5">
      <c r="A17" s="8" t="s">
        <v>231</v>
      </c>
      <c r="B17" s="8" t="s">
        <v>218</v>
      </c>
      <c r="C17" s="8" t="s">
        <v>232</v>
      </c>
      <c r="D17" s="8" t="s">
        <v>226</v>
      </c>
      <c r="E17" s="8" t="s">
        <v>229</v>
      </c>
      <c r="F17" s="8" t="s">
        <v>321</v>
      </c>
      <c r="G17" s="8" t="s">
        <v>181</v>
      </c>
      <c r="H17" s="8" t="s">
        <v>230</v>
      </c>
      <c r="I17" s="7" t="s">
        <v>5</v>
      </c>
      <c r="J17" s="8" t="s">
        <v>223</v>
      </c>
      <c r="K17" s="8" t="s">
        <v>320</v>
      </c>
      <c r="L17" s="8" t="s">
        <v>319</v>
      </c>
      <c r="M17" s="8" t="s">
        <v>318</v>
      </c>
    </row>
    <row r="18" spans="1:13" ht="40.5">
      <c r="A18" s="6" t="s">
        <v>233</v>
      </c>
      <c r="B18" s="6" t="s">
        <v>218</v>
      </c>
      <c r="C18" s="6" t="s">
        <v>234</v>
      </c>
      <c r="D18" s="6" t="s">
        <v>220</v>
      </c>
      <c r="E18" s="6" t="s">
        <v>314</v>
      </c>
      <c r="F18" s="6" t="s">
        <v>317</v>
      </c>
      <c r="G18" s="6" t="s">
        <v>181</v>
      </c>
      <c r="H18" s="6" t="s">
        <v>235</v>
      </c>
      <c r="I18" s="7" t="s">
        <v>5</v>
      </c>
      <c r="J18" s="6" t="s">
        <v>223</v>
      </c>
      <c r="K18" s="6" t="s">
        <v>316</v>
      </c>
      <c r="L18" s="6" t="s">
        <v>315</v>
      </c>
      <c r="M18" s="6" t="s">
        <v>310</v>
      </c>
    </row>
    <row r="19" spans="1:13" ht="40.5">
      <c r="A19" s="8" t="s">
        <v>236</v>
      </c>
      <c r="B19" s="8" t="s">
        <v>218</v>
      </c>
      <c r="C19" s="8" t="s">
        <v>237</v>
      </c>
      <c r="D19" s="8" t="s">
        <v>226</v>
      </c>
      <c r="E19" s="8" t="s">
        <v>314</v>
      </c>
      <c r="F19" s="8" t="s">
        <v>313</v>
      </c>
      <c r="G19" s="8" t="s">
        <v>181</v>
      </c>
      <c r="H19" s="8" t="s">
        <v>235</v>
      </c>
      <c r="I19" s="7" t="s">
        <v>5</v>
      </c>
      <c r="J19" s="8" t="s">
        <v>223</v>
      </c>
      <c r="K19" s="8" t="s">
        <v>312</v>
      </c>
      <c r="L19" s="8" t="s">
        <v>311</v>
      </c>
      <c r="M19" s="8" t="s">
        <v>310</v>
      </c>
    </row>
    <row r="20" spans="1:13" ht="148.5">
      <c r="A20" s="6" t="s">
        <v>309</v>
      </c>
      <c r="B20" s="6" t="s">
        <v>257</v>
      </c>
      <c r="C20" s="6" t="s">
        <v>308</v>
      </c>
      <c r="D20" s="6" t="s">
        <v>277</v>
      </c>
      <c r="E20" s="6" t="s">
        <v>229</v>
      </c>
      <c r="F20" s="6" t="s">
        <v>307</v>
      </c>
      <c r="G20" s="6" t="s">
        <v>306</v>
      </c>
      <c r="H20" s="6" t="s">
        <v>305</v>
      </c>
      <c r="I20" s="7" t="s">
        <v>213</v>
      </c>
      <c r="J20" s="6" t="s">
        <v>344</v>
      </c>
      <c r="K20" s="6" t="s">
        <v>343</v>
      </c>
      <c r="L20" s="6" t="s">
        <v>345</v>
      </c>
      <c r="M20" s="6" t="s">
        <v>304</v>
      </c>
    </row>
    <row r="21" spans="1:13" ht="81">
      <c r="A21" s="8" t="s">
        <v>303</v>
      </c>
      <c r="B21" s="8" t="s">
        <v>257</v>
      </c>
      <c r="C21" s="8" t="s">
        <v>302</v>
      </c>
      <c r="D21" s="8" t="s">
        <v>277</v>
      </c>
      <c r="E21" s="8" t="s">
        <v>229</v>
      </c>
      <c r="F21" s="8" t="s">
        <v>301</v>
      </c>
      <c r="G21" s="8" t="s">
        <v>300</v>
      </c>
      <c r="H21" s="8" t="s">
        <v>299</v>
      </c>
      <c r="I21" s="7" t="s">
        <v>5</v>
      </c>
      <c r="J21" s="8" t="s">
        <v>298</v>
      </c>
      <c r="K21" s="8" t="s">
        <v>297</v>
      </c>
      <c r="L21" s="8" t="s">
        <v>334</v>
      </c>
      <c r="M21" s="8" t="s">
        <v>296</v>
      </c>
    </row>
    <row r="22" spans="1:13" ht="54">
      <c r="A22" s="6" t="s">
        <v>295</v>
      </c>
      <c r="B22" s="6" t="s">
        <v>257</v>
      </c>
      <c r="C22" s="6" t="s">
        <v>294</v>
      </c>
      <c r="D22" s="6" t="s">
        <v>226</v>
      </c>
      <c r="E22" s="6" t="s">
        <v>266</v>
      </c>
      <c r="F22" s="6" t="s">
        <v>293</v>
      </c>
      <c r="G22" s="6" t="s">
        <v>264</v>
      </c>
      <c r="H22" s="6" t="s">
        <v>292</v>
      </c>
      <c r="I22" s="7" t="s">
        <v>5</v>
      </c>
      <c r="J22" s="6" t="s">
        <v>291</v>
      </c>
      <c r="K22" s="6" t="s">
        <v>290</v>
      </c>
      <c r="L22" s="6" t="s">
        <v>335</v>
      </c>
      <c r="M22" s="6" t="s">
        <v>289</v>
      </c>
    </row>
    <row r="23" spans="1:13" ht="54">
      <c r="A23" s="8" t="s">
        <v>288</v>
      </c>
      <c r="B23" s="8" t="s">
        <v>257</v>
      </c>
      <c r="C23" s="8" t="s">
        <v>287</v>
      </c>
      <c r="D23" s="8" t="s">
        <v>226</v>
      </c>
      <c r="E23" s="8" t="s">
        <v>286</v>
      </c>
      <c r="F23" s="8" t="s">
        <v>285</v>
      </c>
      <c r="G23" s="8" t="s">
        <v>284</v>
      </c>
      <c r="H23" s="8" t="s">
        <v>283</v>
      </c>
      <c r="I23" s="7" t="s">
        <v>5</v>
      </c>
      <c r="J23" s="8" t="s">
        <v>282</v>
      </c>
      <c r="K23" s="8" t="s">
        <v>281</v>
      </c>
      <c r="L23" s="8" t="s">
        <v>336</v>
      </c>
      <c r="M23" s="8" t="s">
        <v>280</v>
      </c>
    </row>
    <row r="24" spans="1:13" ht="54">
      <c r="A24" s="6" t="s">
        <v>279</v>
      </c>
      <c r="B24" s="6" t="s">
        <v>257</v>
      </c>
      <c r="C24" s="6" t="s">
        <v>278</v>
      </c>
      <c r="D24" s="6" t="s">
        <v>277</v>
      </c>
      <c r="E24" s="6" t="s">
        <v>276</v>
      </c>
      <c r="F24" s="6" t="s">
        <v>275</v>
      </c>
      <c r="G24" s="6" t="s">
        <v>274</v>
      </c>
      <c r="H24" s="6" t="s">
        <v>273</v>
      </c>
      <c r="I24" s="10" t="s">
        <v>213</v>
      </c>
      <c r="J24" s="6" t="s">
        <v>272</v>
      </c>
      <c r="K24" s="6" t="s">
        <v>271</v>
      </c>
      <c r="L24" s="6" t="s">
        <v>270</v>
      </c>
      <c r="M24" s="6" t="s">
        <v>269</v>
      </c>
    </row>
    <row r="25" spans="1:13" ht="54">
      <c r="A25" s="8" t="s">
        <v>268</v>
      </c>
      <c r="B25" s="8" t="s">
        <v>257</v>
      </c>
      <c r="C25" s="8" t="s">
        <v>267</v>
      </c>
      <c r="D25" s="8" t="s">
        <v>226</v>
      </c>
      <c r="E25" s="8" t="s">
        <v>266</v>
      </c>
      <c r="F25" s="8" t="s">
        <v>265</v>
      </c>
      <c r="G25" s="8" t="s">
        <v>264</v>
      </c>
      <c r="H25" s="8" t="s">
        <v>263</v>
      </c>
      <c r="I25" s="10" t="s">
        <v>213</v>
      </c>
      <c r="J25" s="8" t="s">
        <v>262</v>
      </c>
      <c r="K25" s="8" t="s">
        <v>261</v>
      </c>
      <c r="L25" s="8" t="s">
        <v>260</v>
      </c>
      <c r="M25" s="8" t="s">
        <v>259</v>
      </c>
    </row>
    <row r="26" spans="1:13" ht="54">
      <c r="A26" s="6" t="s">
        <v>258</v>
      </c>
      <c r="B26" s="6" t="s">
        <v>257</v>
      </c>
      <c r="C26" s="6" t="s">
        <v>256</v>
      </c>
      <c r="D26" s="6" t="s">
        <v>226</v>
      </c>
      <c r="E26" s="6" t="s">
        <v>255</v>
      </c>
      <c r="F26" s="6" t="s">
        <v>254</v>
      </c>
      <c r="G26" s="6" t="s">
        <v>253</v>
      </c>
      <c r="H26" s="6" t="s">
        <v>252</v>
      </c>
      <c r="I26" s="10" t="s">
        <v>213</v>
      </c>
      <c r="J26" s="6" t="s">
        <v>251</v>
      </c>
      <c r="K26" s="6" t="s">
        <v>250</v>
      </c>
      <c r="L26" s="6" t="s">
        <v>249</v>
      </c>
      <c r="M26" s="6" t="s">
        <v>248</v>
      </c>
    </row>
    <row r="27" spans="1:13" ht="67.5">
      <c r="A27" s="8" t="s">
        <v>247</v>
      </c>
      <c r="B27" s="8" t="s">
        <v>246</v>
      </c>
      <c r="C27" s="8" t="s">
        <v>245</v>
      </c>
      <c r="D27" s="8" t="s">
        <v>244</v>
      </c>
      <c r="E27" s="8" t="s">
        <v>243</v>
      </c>
      <c r="F27" s="8" t="s">
        <v>242</v>
      </c>
      <c r="G27" s="8" t="s">
        <v>181</v>
      </c>
      <c r="H27" s="8" t="s">
        <v>241</v>
      </c>
      <c r="I27" s="10" t="s">
        <v>213</v>
      </c>
      <c r="J27" s="8" t="s">
        <v>240</v>
      </c>
      <c r="K27" s="8" t="s">
        <v>239</v>
      </c>
      <c r="L27" s="8" t="s">
        <v>346</v>
      </c>
      <c r="M27" s="8" t="s">
        <v>238</v>
      </c>
    </row>
  </sheetData>
  <mergeCells count="4">
    <mergeCell ref="A1:M1"/>
    <mergeCell ref="A2:M2"/>
    <mergeCell ref="D4:M4"/>
    <mergeCell ref="D5:M7"/>
  </mergeCells>
  <conditionalFormatting sqref="I11:I200">
    <cfRule type="expression" dxfId="2" priority="1">
      <formula>I11="Final"</formula>
    </cfRule>
    <cfRule type="expression" dxfId="1" priority="2">
      <formula>I11="Provisional"</formula>
    </cfRule>
    <cfRule type="expression" dxfId="0" priority="3">
      <formula>I11="Excluded"</formula>
    </cfRule>
  </conditionalFormatting>
  <dataValidations count="1">
    <dataValidation type="list" sqref="I11:I200" xr:uid="{00000000-0002-0000-0100-000000000000}">
      <formula1>"Final,Provisional,Excluded"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Methodology Decisions</vt:lpstr>
      <vt:lpstr>Feature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Yakubesan</dc:creator>
  <cp:lastModifiedBy>Sara Yakubesan</cp:lastModifiedBy>
  <dcterms:created xsi:type="dcterms:W3CDTF">2026-09-15T01:20:13Z</dcterms:created>
  <dcterms:modified xsi:type="dcterms:W3CDTF">2026-10-19T02:38:26Z</dcterms:modified>
</cp:coreProperties>
</file>