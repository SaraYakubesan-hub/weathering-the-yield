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61b646168a133d/Documents/IUS - Data Science/2026 - Fall/SENIOR THESIS/output/methodology/"/>
    </mc:Choice>
  </mc:AlternateContent>
  <xr:revisionPtr revIDLastSave="69" documentId="8_{E2880474-6383-4A23-83FB-0BFB047B2884}" xr6:coauthVersionLast="47" xr6:coauthVersionMax="47" xr10:uidLastSave="{C2C5CE2F-5450-4276-B032-21B326277615}"/>
  <bookViews>
    <workbookView xWindow="-98" yWindow="-98" windowWidth="21795" windowHeight="13875" activeTab="1" xr2:uid="{00000000-000D-0000-FFFF-FFFF00000000}"/>
  </bookViews>
  <sheets>
    <sheet name="Methodology Decisions" sheetId="1" r:id="rId1"/>
    <sheet name="Feature Definition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6" i="3"/>
  <c r="B7" i="3"/>
  <c r="B7" i="1"/>
  <c r="B6" i="1"/>
  <c r="B5" i="1"/>
</calcChain>
</file>

<file path=xl/sharedStrings.xml><?xml version="1.0" encoding="utf-8"?>
<sst xmlns="http://schemas.openxmlformats.org/spreadsheetml/2006/main" count="484" uniqueCount="381">
  <si>
    <t>Senior Thesis Methodology Decision Table</t>
  </si>
  <si>
    <t>Weathering the Yield: Predicting Indiana Corn Yield with Growing-Season Weather Extremes</t>
  </si>
  <si>
    <t>Decision Status</t>
  </si>
  <si>
    <t>Count</t>
  </si>
  <si>
    <t>Status Definitions</t>
  </si>
  <si>
    <t>Final</t>
  </si>
  <si>
    <t>Final = supported well enough that it should not be revisited unless new advisor feedback or evidence requires it. Provisional = direction is established, but a detail still needs to be selected using literature or pre-2022 development data. Needs Advisor Input = reserved for decisions that should not be finalized without advisor guidance.</t>
  </si>
  <si>
    <t>Provisional</t>
  </si>
  <si>
    <t>Needs Advisor Input</t>
  </si>
  <si>
    <t>Decision ID</t>
  </si>
  <si>
    <t>Category</t>
  </si>
  <si>
    <t>Decision Question</t>
  </si>
  <si>
    <t>Current Decision</t>
  </si>
  <si>
    <t>Status</t>
  </si>
  <si>
    <t>Evidence / Basis</t>
  </si>
  <si>
    <t>Rationale</t>
  </si>
  <si>
    <t>Leakage / Bias Consideration</t>
  </si>
  <si>
    <t>Implementation</t>
  </si>
  <si>
    <t>Date Locked</t>
  </si>
  <si>
    <t>Notes</t>
  </si>
  <si>
    <t>M01</t>
  </si>
  <si>
    <t>Study outcome</t>
  </si>
  <si>
    <t>What outcome will be predicted?</t>
  </si>
  <si>
    <t>Indiana county-level corn grain yield</t>
  </si>
  <si>
    <t>Thesis proposal; USDA NASS data</t>
  </si>
  <si>
    <t>Matches the research question and available county-level yield records.</t>
  </si>
  <si>
    <t>Outcome cannot be used to construct predictors for the same prediction year.</t>
  </si>
  <si>
    <t>USDA processing script / modeling dataset</t>
  </si>
  <si>
    <t>Yield observations remain at the county-year level.</t>
  </si>
  <si>
    <t>M02</t>
  </si>
  <si>
    <t>Study period</t>
  </si>
  <si>
    <t>What years will be included?</t>
  </si>
  <si>
    <t>2000–2025</t>
  </si>
  <si>
    <t>Data coverage audit; project proposal</t>
  </si>
  <si>
    <t>Provides a long historical period while meeting the requirement that the dataset include recent data.</t>
  </si>
  <si>
    <t>Later years must not influence earlier development folds.</t>
  </si>
  <si>
    <t>Historical USDA and NOAA datasets</t>
  </si>
  <si>
    <t>NOAA coverage is complete; USDA yield panel is unbalanced.</t>
  </si>
  <si>
    <t>M03</t>
  </si>
  <si>
    <t>Geography</t>
  </si>
  <si>
    <t>What geographic area will be modeled?</t>
  </si>
  <si>
    <t>Indiana counties with observed USDA corn yield</t>
  </si>
  <si>
    <t>Research question; USDA/NOAA coverage audits</t>
  </si>
  <si>
    <t>Keeps the thesis focused and allows county-level spatial evaluation.</t>
  </si>
  <si>
    <t>Do not create yield observations for counties or years where USDA yield is missing.</t>
  </si>
  <si>
    <t>County FIPS used as primary geographic identifier</t>
  </si>
  <si>
    <t>NOAA contains all 92 counties; USDA availability varies.</t>
  </si>
  <si>
    <t>M04</t>
  </si>
  <si>
    <t>Predictor groups</t>
  </si>
  <si>
    <t>What model groups will be compared?</t>
  </si>
  <si>
    <t>1) Historical yield baseline; 2) Historical + conventional weather; 3) Historical + conventional weather + weather extremes</t>
  </si>
  <si>
    <t>Proposal; literature review; advisor feedback</t>
  </si>
  <si>
    <t>Directly tests the incremental predictive value of weather and then weather extremes.</t>
  </si>
  <si>
    <t>Predictor groups must be evaluated under identical conditions.</t>
  </si>
  <si>
    <t>Modeling workflow</t>
  </si>
  <si>
    <t>Central comparison of the thesis.</t>
  </si>
  <si>
    <t>M05</t>
  </si>
  <si>
    <t>Historical baseline</t>
  </si>
  <si>
    <t>Sajid et al. (2022); Zhao et al. (2025); Stracqualursi (2026); advisor feedback</t>
  </si>
  <si>
    <t>M06</t>
  </si>
  <si>
    <t>Recent yield history</t>
  </si>
  <si>
    <t>M07</t>
  </si>
  <si>
    <t>Conventional weather</t>
  </si>
  <si>
    <t>What will Model Group 2 add?</t>
  </si>
  <si>
    <t>Literature-supported temperature and precipitation summaries calculated within selected growing-season periods</t>
  </si>
  <si>
    <t>Pei et al. (2025); Lingua et al. (2024); Teleubay et al. (2025)</t>
  </si>
  <si>
    <t>Tests whether conventional weather adds predictive information beyond historical yield.</t>
  </si>
  <si>
    <t>Window definitions must be established before final test evaluation.</t>
  </si>
  <si>
    <t>Weather feature script</t>
  </si>
  <si>
    <t>Exact variables and periods will be documented in Sheet 2.</t>
  </si>
  <si>
    <t>M08</t>
  </si>
  <si>
    <t>Weather extremes</t>
  </si>
  <si>
    <t>What will Model Group 3 add?</t>
  </si>
  <si>
    <t>A limited set of approximately 3–5 interpretable heat and moisture extreme indicators</t>
  </si>
  <si>
    <t>Sabut et al. (2025); Ting et al. (2023); Li et al. (2019); Kim et al. (2024)</t>
  </si>
  <si>
    <t>Tests whether engineered extremes add information beyond conventional weather.</t>
  </si>
  <si>
    <t>Thresholds and definitions cannot be selected from final holdout performance.</t>
  </si>
  <si>
    <t>Extreme-feature script</t>
  </si>
  <si>
    <t>Exact features will be documented in Sheet 2.</t>
  </si>
  <si>
    <t>M09</t>
  </si>
  <si>
    <t>Feature timing</t>
  </si>
  <si>
    <t>How will weather be aggregated over the season?</t>
  </si>
  <si>
    <t>Use a small number of literature-informed periods rather than one broad April–September summary</t>
  </si>
  <si>
    <t>Pei et al. (2025); Lingua et al. (2024); Niu et al. (2024); Teleubay et al. (2025)</t>
  </si>
  <si>
    <t>Literature consistently shows that weather sensitivity varies by crop stage.</t>
  </si>
  <si>
    <t>Final windows must be chosen before examining final holdout performance.</t>
  </si>
  <si>
    <t>Weather feature engineering</t>
  </si>
  <si>
    <t>Avoid claiming exact county phenology without phenology data.</t>
  </si>
  <si>
    <t>M10</t>
  </si>
  <si>
    <t>Development validation</t>
  </si>
  <si>
    <t>How will models be developed and tuned?</t>
  </si>
  <si>
    <t>Hewamalage et al. (2023); Stracqualursi (2026); advisor feedback</t>
  </si>
  <si>
    <t>Model development script</t>
  </si>
  <si>
    <t>M11</t>
  </si>
  <si>
    <t>Final evaluation</t>
  </si>
  <si>
    <t>Which years will remain untouched for final testing?</t>
  </si>
  <si>
    <t>2022–2025</t>
  </si>
  <si>
    <t>Proposal; advisor feedback</t>
  </si>
  <si>
    <t>Provides four recent future years for final model comparison.</t>
  </si>
  <si>
    <t>Must remain unused for feature selection, tuning, or threshold selection.</t>
  </si>
  <si>
    <t>Final analysis script</t>
  </si>
  <si>
    <t>Evaluate only after methodology and model choices are locked.</t>
  </si>
  <si>
    <t>M12</t>
  </si>
  <si>
    <t>Preprocessing</t>
  </si>
  <si>
    <t>How will data-dependent preprocessing be handled?</t>
  </si>
  <si>
    <t>Recalculate learned preprocessing within each training fold</t>
  </si>
  <si>
    <t>Hewamalage et al. (2023); Li et al. (2026)</t>
  </si>
  <si>
    <t>Prevents future information from leaking into model development.</t>
  </si>
  <si>
    <t>Includes scaling, trend fitting, empirical thresholds, imputation, and any learned transformation.</t>
  </si>
  <si>
    <t>Modeling pipeline</t>
  </si>
  <si>
    <t>Static literature-defined thresholds differ from empirically estimated thresholds.</t>
  </si>
  <si>
    <t>M13</t>
  </si>
  <si>
    <t>Fair model comparison</t>
  </si>
  <si>
    <t>How will predictor groups be compared?</t>
  </si>
  <si>
    <t>Use the same observed county-years, training periods, validation years, preprocessing rules, algorithms, and metrics for all groups</t>
  </si>
  <si>
    <t>Advisor feedback; literature review</t>
  </si>
  <si>
    <t>Ensures differences reflect predictor information rather than evaluation differences.</t>
  </si>
  <si>
    <t>No model group should receive information unavailable to the others except its intended added predictors.</t>
  </si>
  <si>
    <t>Model comparison script</t>
  </si>
  <si>
    <t>One of Dr. R's explicit recommendations.</t>
  </si>
  <si>
    <t>M14</t>
  </si>
  <si>
    <t>Missing yield observations</t>
  </si>
  <si>
    <t>How will missing USDA county-year yields be handled?</t>
  </si>
  <si>
    <t>Retain the naturally unbalanced panel; do not impute missing yield outcomes merely to balance the dataset</t>
  </si>
  <si>
    <t>USDA coverage audit; panel forecasting literature</t>
  </si>
  <si>
    <t>Avoids creating artificial outcome values.</t>
  </si>
  <si>
    <t>Models and metrics use only observed yield outcomes.</t>
  </si>
  <si>
    <t>Modeling dataset construction</t>
  </si>
  <si>
    <t>Missing predictor handling, if needed, is a separate decision.</t>
  </si>
  <si>
    <t>M15</t>
  </si>
  <si>
    <t>Performance metrics</t>
  </si>
  <si>
    <t>What metrics will be reported?</t>
  </si>
  <si>
    <t>RMSE and MAE as primary metrics; R² as a secondary descriptive measure</t>
  </si>
  <si>
    <t>Hewamalage et al. (2023); crop prediction literature</t>
  </si>
  <si>
    <t>RMSE and MAE directly quantify forecast error; R² provides complementary fit information.</t>
  </si>
  <si>
    <t>All models must be evaluated on identical observations.</t>
  </si>
  <si>
    <t>Evaluation script</t>
  </si>
  <si>
    <t>Avoid ranking models on R² alone.</t>
  </si>
  <si>
    <t>M16</t>
  </si>
  <si>
    <t>Evaluation scale</t>
  </si>
  <si>
    <t>At what levels will performance be examined?</t>
  </si>
  <si>
    <t>Overall pooled performance, individual test years, and county-level performance where sufficient observations exist</t>
  </si>
  <si>
    <t>Chang et al. (2023); He &amp; Luo (2026); Li et al. (2026); advisor feedback</t>
  </si>
  <si>
    <t>Pooled metrics may hide poor performance in specific years or locations.</t>
  </si>
  <si>
    <t>County comparisons require enough observed test years to be meaningful.</t>
  </si>
  <si>
    <t>Evaluation / figures</t>
  </si>
  <si>
    <t>County error maps planned.</t>
  </si>
  <si>
    <t>M17</t>
  </si>
  <si>
    <t>Spatial evaluation</t>
  </si>
  <si>
    <t>How will geographic model error be examined?</t>
  </si>
  <si>
    <t>Map county prediction errors and/or changes in county RMSE between model groups</t>
  </si>
  <si>
    <t>He &amp; Luo (2026); Li et al. (2026); Sajid et al. (2022); advisor feedback</t>
  </si>
  <si>
    <t>Identifies locations where models consistently perform poorly or benefit from added weather information.</t>
  </si>
  <si>
    <t>Missing county-year yields must remain visible rather than silently filled.</t>
  </si>
  <si>
    <t>Figures / spatial analysis</t>
  </si>
  <si>
    <t>Exact map statistic can be finalized later.</t>
  </si>
  <si>
    <t>M18</t>
  </si>
  <si>
    <t>Statistical comparison</t>
  </si>
  <si>
    <t>How will meaningful performance differences be assessed?</t>
  </si>
  <si>
    <t>Compare historical vs. conventional-weather models and conventional-weather vs. extreme-weather models using effect size, consistency across years/counties, and an appropriate dependence-aware statistical comparison if feasible</t>
  </si>
  <si>
    <t>Qu et al. (2024); Stracqualursi (2026); advisor feedback</t>
  </si>
  <si>
    <t>RMSE differences alone may not indicate meaningful improvement.</t>
  </si>
  <si>
    <t>County-year errors cannot automatically be treated as independent.</t>
  </si>
  <si>
    <t>Final evaluation script</t>
  </si>
  <si>
    <t>Exact statistical test remains unresolved because the final test period has only four years.</t>
  </si>
  <si>
    <t>M19</t>
  </si>
  <si>
    <t>Algorithms</t>
  </si>
  <si>
    <t>Which modeling algorithms will be considered?</t>
  </si>
  <si>
    <t>Multiple linear regression plus a limited set of tree-based ML methods such as Random Forest and gradient boosting/XGBoost</t>
  </si>
  <si>
    <t>Project scope; crop prediction literature</t>
  </si>
  <si>
    <t>Provides an interpretable benchmark plus nonlinear alternatives without excessive model proliferation.</t>
  </si>
  <si>
    <t>Hyperparameter tuning must occur within pre-2022 development validation.</t>
  </si>
  <si>
    <t>Modeling scripts</t>
  </si>
  <si>
    <t>Final algorithm set should remain small.</t>
  </si>
  <si>
    <t>M20</t>
  </si>
  <si>
    <t>Feature selection</t>
  </si>
  <si>
    <t>When can predictor or threshold choices be changed?</t>
  </si>
  <si>
    <t>Feature definitions and tuning decisions may use literature and pre-2022 development results only; final 2022–2025 results cannot drive feature selection</t>
  </si>
  <si>
    <t>Forecast evaluation literature; advisor guidance</t>
  </si>
  <si>
    <t>Protects against test-set overfitting and hindsight-driven methodology.</t>
  </si>
  <si>
    <t>Final holdout cannot be reopened during feature engineering.</t>
  </si>
  <si>
    <t>Decision log + modeling workflow</t>
  </si>
  <si>
    <t>One of the most important methodological safeguards.</t>
  </si>
  <si>
    <t>M21</t>
  </si>
  <si>
    <t>Interpretation</t>
  </si>
  <si>
    <t>How will weather effects be described?</t>
  </si>
  <si>
    <t>As predictors associated with yield, not as direct causal effects</t>
  </si>
  <si>
    <t>Literature review; advisor feedback</t>
  </si>
  <si>
    <t>Soil, management, genetics, and other omitted factors prevent strong causal interpretation.</t>
  </si>
  <si>
    <t>Avoid causal language in results and discussion.</t>
  </si>
  <si>
    <t>Thesis writing</t>
  </si>
  <si>
    <t>Use terms such as associated with, predictive value, and relationship.</t>
  </si>
  <si>
    <t>M22</t>
  </si>
  <si>
    <t>Reproducibility</t>
  </si>
  <si>
    <t>What must be preserved for reproducibility?</t>
  </si>
  <si>
    <t>Scripts, feature definitions, random seeds, model settings, package versions/data-access dates where practical, and methodology decisions</t>
  </si>
  <si>
    <t>Advisor feedback</t>
  </si>
  <si>
    <t>Allows the full workflow to be reconstructed and explains why decisions were made.</t>
  </si>
  <si>
    <t>Any manual intervention should be documented.</t>
  </si>
  <si>
    <t>Project folders / scripts / decision log</t>
  </si>
  <si>
    <t>Decision Log sheet will be part of this process.</t>
  </si>
  <si>
    <t>Use this sheet as the high-level methodology control document. Finalize provisional decisions only from published literature, pre-2022 development data, or advisor feedback—never from 2022–2025 final holdout performance.</t>
  </si>
  <si>
    <t>What information should the historical baseline represent?</t>
  </si>
  <si>
    <t>County identity, a long-term temporal trend, and one or more recent-yield features selected using pre-2022 development validation</t>
  </si>
  <si>
    <t>County identity represents persistent geographic productivity differences, the time variable represents long-term productivity change, and recent yield history captures shorter-term local information. A competitive historical baseline prevents weather from appearing useful simply because the comparison model is weak.</t>
  </si>
  <si>
    <r>
      <t xml:space="preserve">Trend and recent-yield variables for prediction year </t>
    </r>
    <r>
      <rPr>
        <sz val="11"/>
        <rFont val="Cascadia Code"/>
        <family val="3"/>
      </rPr>
      <t>t</t>
    </r>
    <r>
      <rPr>
        <sz val="11"/>
        <rFont val="Carlito"/>
      </rPr>
      <t xml:space="preserve"> may use only information available before year </t>
    </r>
    <r>
      <rPr>
        <sz val="11"/>
        <rFont val="Cascadia Code"/>
        <family val="3"/>
      </rPr>
      <t>t</t>
    </r>
    <r>
      <rPr>
        <sz val="11"/>
        <rFont val="Carlito"/>
      </rPr>
      <t>. Any feature choice or tuning must occur using pre-2022 development data only.</t>
    </r>
  </si>
  <si>
    <t>Baseline feature engineering and modeling scripts</t>
  </si>
  <si>
    <t>How should recent county yield history be represented?</t>
  </si>
  <si>
    <t>Forward-looking expanding-window rolling-origin validation using only pre-2022 observations. The initial development training window will use 2003–2011 common-sample observations, with 2012 as the first validation year. The training window will then expand one year at a time through the final 2021 development validation fold.</t>
  </si>
  <si>
    <t>For each fold, only observations preceding the validation year may be used for model fitting, preprocessing, feature estimation, or tuning. The 2022–2025 final holdout remains untouched during development.</t>
  </si>
  <si>
    <t>Use previous-year county corn yield (lag-1 yield) as the recent-yield component of the historical baseline.</t>
  </si>
  <si>
    <t>Historical-feature availability audit and 2012–2021 expanding-window rolling-origin comparison using identical county-year observations.</t>
  </si>
  <si>
    <t>Lag-1 yield had lower mean yearly RMSE (34.4 vs. 35.1) and MAE (31.1 vs. 31.9), lower median yearly RMSE and MAE, and outperformed the flexible 3-year mean in 6 of 10 validation years for both RMSE and MAE. Although the flexible history feature had greater availability and slightly lower pooled RMSE, lag-1 performed better on the pre-specified primary criterion of mean yearly RMSE, showed more consistent year-to-year performance, and provides a simpler and more interpretable representation of recent yield history.</t>
  </si>
  <si>
    <t>For prediction year t, lag-1 uses only the observed county yield from year t − 1. Candidate selection was conducted entirely with pre-2022 development data under rolling-origin validation. The 2022–2025 final holdout was not used for feature selection.</t>
  </si>
  <si>
    <t>Historical feature engineering, baseline candidate comparison, and final lag-1 baseline setup.</t>
  </si>
  <si>
    <t>Strict 3-year history was eliminated during the availability audit. Flexible 2-of-3 trailing history was retained for development comparison but was not selected after rolling-origin validation. After lag-1 was selected, the final development sample expanded to 1,691 observations across 91 counties for 2001–2021. Crawford County cannot support the lag-1 baseline because its USDA development-period yield records contain no consecutive observed years.</t>
  </si>
  <si>
    <t>https://doi.org/10.1016/j.agrformet.2024.110286 ; https://doi.org/10.1016/j.agwat.2025.109834 ; https://www.agry.purdue.edu/ext/corn/news/timeless/GrainFill.html</t>
  </si>
  <si>
    <t>Fixed-calendar approximation of grain filling and late-season development; exact timing varies by planting date, hybrid, location, and year.</t>
  </si>
  <si>
    <t>Represents post-pollination kernel development, grain filling, and progression toward physiological maturity.</t>
  </si>
  <si>
    <t>No — window fixed from literature before model development</t>
  </si>
  <si>
    <t>Lingua et al. (2024); Dhillon et al. (2025); Purdue grain-fill guidance</t>
  </si>
  <si>
    <t>N/A</t>
  </si>
  <si>
    <t>Fixed-calendar window used to calculate late-season conventional and extreme weather features.</t>
  </si>
  <si>
    <t>August 1–September 30</t>
  </si>
  <si>
    <t>tmax, tmin, tavg, prcp (as applicable)</t>
  </si>
  <si>
    <t>Grain-fill window</t>
  </si>
  <si>
    <t>Time Window</t>
  </si>
  <si>
    <t>T03</t>
  </si>
  <si>
    <t>https://doi.org/10.1016/j.agrformet.2024.110286 ; https://doi.org/10.1016/j.scitotenv.2024.175898 ; https://www.extension.purdue.edu/extmedia/nch/nch-40.html</t>
  </si>
  <si>
    <t>Fixed-calendar approximation of the reproductive-critical period; exact flowering dates vary by planting date, hybrid, location, and year.</t>
  </si>
  <si>
    <t>Captures the period when flowering, pollination, silking, and early kernel set commonly occur in Indiana corn.</t>
  </si>
  <si>
    <t>Lingua et al. (2024); Niu et al. (2024); Purdue flowering guidance</t>
  </si>
  <si>
    <t>Fixed-calendar window used to calculate weather features during the primary reproductive-sensitive period.</t>
  </si>
  <si>
    <t>July 1–July 31</t>
  </si>
  <si>
    <t>Reproductive-critical window</t>
  </si>
  <si>
    <t>T02</t>
  </si>
  <si>
    <t>https://doi.org/10.1016/j.agrformet.2024.110340 ; https://doi.org/10.1016/j.agrformet.2024.110286 ; https://www.extension.purdue.edu/extmedia/nch/nch-40.html</t>
  </si>
  <si>
    <t>Fixed-calendar approximation of early-season development; does not assume exact county-year phenology.</t>
  </si>
  <si>
    <t>Represents establishment, vegetative growth, and development of yield potential before the primary reproductive period.</t>
  </si>
  <si>
    <t>Pei et al. (2025); Lingua et al. (2024); Purdue corn-development guidance</t>
  </si>
  <si>
    <t>Fixed-calendar window used to calculate early-season conventional and extreme weather features.</t>
  </si>
  <si>
    <t>May 1–June 30</t>
  </si>
  <si>
    <t>Early-season window</t>
  </si>
  <si>
    <t>T01</t>
  </si>
  <si>
    <t>Source URL(s)</t>
  </si>
  <si>
    <t>Training-Only Requirement</t>
  </si>
  <si>
    <t>Literature Basis</t>
  </si>
  <si>
    <t>Threshold</t>
  </si>
  <si>
    <t>Definition / Formula</t>
  </si>
  <si>
    <t>Source Variable(s)</t>
  </si>
  <si>
    <t>Feature Name</t>
  </si>
  <si>
    <t>Feature Group</t>
  </si>
  <si>
    <t>Feature ID</t>
  </si>
  <si>
    <t>Excluded</t>
  </si>
  <si>
    <t>Final = definition is supported and locked before model evaluation. Provisional = direction is established but an exact variable, threshold, or implementation detail still needs to be selected using literature or pre-2022 development data. Excluded = considered but intentionally not carried forward.</t>
  </si>
  <si>
    <t>Feature Status</t>
  </si>
  <si>
    <t>Senior Thesis Feature Definitions</t>
  </si>
  <si>
    <t>W01</t>
  </si>
  <si>
    <t>Conventional Weather</t>
  </si>
  <si>
    <t>Early-season mean temperature</t>
  </si>
  <si>
    <t>tavg</t>
  </si>
  <si>
    <t>T01: May 1–June 30</t>
  </si>
  <si>
    <t>Pei et al. (2025); Lingua et al. (2024)</t>
  </si>
  <si>
    <t>No — direct summary of observed daily weather</t>
  </si>
  <si>
    <t>W02</t>
  </si>
  <si>
    <t>Early-season total precipitation</t>
  </si>
  <si>
    <t>prcp</t>
  </si>
  <si>
    <t>W03</t>
  </si>
  <si>
    <t>Reproductive-period mean temperature</t>
  </si>
  <si>
    <t>T02: July 1–July 31</t>
  </si>
  <si>
    <t>Lingua et al. (2024); Niu et al. (2024); Dhillon et al. (2025)</t>
  </si>
  <si>
    <t>W04</t>
  </si>
  <si>
    <t>Reproductive-period total precipitation</t>
  </si>
  <si>
    <t>W05</t>
  </si>
  <si>
    <t>Grain-fill mean temperature</t>
  </si>
  <si>
    <t>Lingua et al. (2024); Dhillon et al. (2025); Teleubay et al. (2025)</t>
  </si>
  <si>
    <t>W06</t>
  </si>
  <si>
    <t>Grain-fill total precipitation</t>
  </si>
  <si>
    <t>https://doi.org/10.1038/s41598-023-27931-7 ; https://doi.org/10.1016/j.scitotenv.2024.175898</t>
  </si>
  <si>
    <t>Tree-based models can learn interactions among E01–E04 directly. An explicit interaction could be reserved for a secondary sensitivity analysis if justified using pre-2022 development data.</t>
  </si>
  <si>
    <t>Compound heat and moisture stress is biologically plausible, but precipitation does not directly measure soil or crop water status and the four selected extremes already represent the major stress families.</t>
  </si>
  <si>
    <t>Potentially — scaling or transformations would need to be learned within training folds if used</t>
  </si>
  <si>
    <t>Ting et al. (2023); Niu et al. (2024)</t>
  </si>
  <si>
    <t>Explicit product or compound indicator combining selected heat and dry-condition measures.</t>
  </si>
  <si>
    <t>Reproductive / early grain-fill period</t>
  </si>
  <si>
    <t>tmax, prcp</t>
  </si>
  <si>
    <t>Heat × moisture interaction</t>
  </si>
  <si>
    <t>Compound Weather</t>
  </si>
  <si>
    <t>X04</t>
  </si>
  <si>
    <t>https://doi.org/10.1111/gcb.14628</t>
  </si>
  <si>
    <t>Maximum 5-day precipitation (E04) was retained as a simpler, directly reproducible concentrated-wetness measure.</t>
  </si>
  <si>
    <t>Strong literature basis, but the feature would add fold-specific climatology estimation and overlap with conventional precipitation totals.</t>
  </si>
  <si>
    <t>Yes — local climatology and thresholds would need to be estimated within each training fold</t>
  </si>
  <si>
    <t>Li et al. (2019)</t>
  </si>
  <si>
    <t>Literature example: &gt;2.5 SD; most extreme &gt;3.5 SD</t>
  </si>
  <si>
    <t>Standardize precipitation relative to a county-specific reference distribution and flag unusually wet conditions.</t>
  </si>
  <si>
    <t>Growing-season / local climatology</t>
  </si>
  <si>
    <t>Locally standardized excessive-wetness indicator</t>
  </si>
  <si>
    <t>Extreme Weather</t>
  </si>
  <si>
    <t>X03</t>
  </si>
  <si>
    <t>https://cds.climate.copernicus.eu/datasets/sis-extreme-indices-cmip6?tab=overview</t>
  </si>
  <si>
    <t>Excluded to limit redundancy; E03 retains the duration-based extreme concept.</t>
  </si>
  <si>
    <t>Overlaps with the consecutive-dry-spell indicator while providing less information about duration of sustained low-rainfall conditions.</t>
  </si>
  <si>
    <t>No — fixed threshold</t>
  </si>
  <si>
    <t>ETCCDI dry-day / consecutive-dry-days convention</t>
  </si>
  <si>
    <t>prcp &lt; 1 mm/day</t>
  </si>
  <si>
    <t>Count of days with daily precipitation below 1 mm.</t>
  </si>
  <si>
    <t>July 1–August 31</t>
  </si>
  <si>
    <t>Total dry-day count</t>
  </si>
  <si>
    <t>X02</t>
  </si>
  <si>
    <t>https://doi.org/10.1038/s41598-023-27931-7</t>
  </si>
  <si>
    <t>Considered alternative only; not included in the primary Model 3 feature set.</t>
  </si>
  <si>
    <t>Scientifically supported, but fixed literature-based thresholds provide simpler interpretation and cleaner reproducibility for the primary feature set.</t>
  </si>
  <si>
    <t>Yes — percentile threshold would need to be estimated within each training fold</t>
  </si>
  <si>
    <t>Ting et al. (2023)</t>
  </si>
  <si>
    <t>Local 90th/95th percentile</t>
  </si>
  <si>
    <t>County-specific hot-day indicator based on local 90th or 95th percentile maximum-temperature thresholds.</t>
  </si>
  <si>
    <t>Reproductive-sensitive period</t>
  </si>
  <si>
    <t>tmax</t>
  </si>
  <si>
    <t>Percentile-based local heat threshold</t>
  </si>
  <si>
    <t>X01</t>
  </si>
  <si>
    <t>https://doi.org/10.1111/gcb.14628 ; https://doi.org/10.1016/j.agrformet.2023.109819 ; https://cds.climate.copernicus.eu/datasets/sis-extreme-indices-cmip6?tab=overview</t>
  </si>
  <si>
    <t>Captures concentrated multi-day rainfall that may represent excessive-moisture exposure beyond total seasonal precipitation.</t>
  </si>
  <si>
    <t>No — direct extreme statistic calculated from observed daily precipitation</t>
  </si>
  <si>
    <t>Li et al. (2019); Kim et al. (2024); ETCCDI Rx5day convention</t>
  </si>
  <si>
    <t>None</t>
  </si>
  <si>
    <t>Maximum precipitation accumulated across any rolling 5-day period within the window.</t>
  </si>
  <si>
    <t>May 1–July 31</t>
  </si>
  <si>
    <t>Maximum 5-day precipitation</t>
  </si>
  <si>
    <t>E04</t>
  </si>
  <si>
    <t>https://doi.org/10.1016/j.agwat.2025.109834 ; https://doi.org/10.1016/j.agrformet.2025.110715 ; https://cds.climate.copernicus.eu/datasets/sis-extreme-indices-cmip6?tab=overview</t>
  </si>
  <si>
    <t>Captures duration of sustained low-rainfall conditions across the reproductive and early grain-fill periods.</t>
  </si>
  <si>
    <t>No — fixed threshold selected before model evaluation</t>
  </si>
  <si>
    <t>Dhillon et al. (2025); Teleubay et al. (2025); ETCCDI consecutive-dry-days convention</t>
  </si>
  <si>
    <t>Maximum number of consecutive calendar days with daily precipitation below 1 mm.</t>
  </si>
  <si>
    <t>Longest consecutive dry spell</t>
  </si>
  <si>
    <t>E03</t>
  </si>
  <si>
    <t>https://doi.org/10.1016/j.agrformet.2024.110286 ; https://doi.org/10.1016/j.scitotenv.2024.175898</t>
  </si>
  <si>
    <t>Captures intensity and duration of severe heat beyond a high-temperature threshold.</t>
  </si>
  <si>
    <t>No — fixed threshold selected from literature before model evaluation</t>
  </si>
  <si>
    <t>Lingua et al. (2024); Niu et al. (2024)</t>
  </si>
  <si>
    <t>35°C</t>
  </si>
  <si>
    <t>Sum of max(tmax − 35°C, 0) across days within T02.</t>
  </si>
  <si>
    <t>Reproductive-period extreme heat accumulation</t>
  </si>
  <si>
    <t>E02</t>
  </si>
  <si>
    <t>https://doi.org/10.1016/j.agrformet.2025.110632 ; https://doi.org/10.1016/j.agrformet.2024.110286 ; https://doi.org/10.1016/j.scitotenv.2024.175898</t>
  </si>
  <si>
    <t>Represents frequency of high-temperature exposure during the reproductive-sensitive period.</t>
  </si>
  <si>
    <t>Sabut et al. (2025); Lingua et al. (2024); Niu et al. (2024)</t>
  </si>
  <si>
    <t>tmax &gt; 30°C</t>
  </si>
  <si>
    <t>Count of days within T02 where daily maximum temperature exceeds 30°C.</t>
  </si>
  <si>
    <t>Reproductive-period hot-day count</t>
  </si>
  <si>
    <t>E01</t>
  </si>
  <si>
    <t>https://doi.org/10.1016/j.agrformet.2024.110286 ; https://doi.org/10.1016/j.agwat.2025.109834 ; https://doi.org/10.1016/j.agrformet.2025.110715</t>
  </si>
  <si>
    <t>Model 2 predictor. Precipitation in mm; does not directly measure soil-water availability.</t>
  </si>
  <si>
    <t>Represents cumulative late-season moisture input during grain filling.</t>
  </si>
  <si>
    <t>Sum of daily precipitation within T03 for each county-year.</t>
  </si>
  <si>
    <t>T03: August 1–September 30</t>
  </si>
  <si>
    <t>Model 2 predictor. Temperature in °C; fixed-calendar approximation.</t>
  </si>
  <si>
    <t>Represents typical thermal conditions during grain filling and late-season development.</t>
  </si>
  <si>
    <t>Arithmetic mean of daily tavg values within T03 for each county-year.</t>
  </si>
  <si>
    <t>https://doi.org/10.1016/j.agrformet.2024.110286 ; https://doi.org/10.1016/j.scitotenv.2024.175898 ; https://doi.org/10.1016/j.agwat.2025.109834</t>
  </si>
  <si>
    <t>Model 2 predictor. Precipitation is a weather input and should not be described as direct soil-water availability.</t>
  </si>
  <si>
    <t>Represents cumulative moisture input during the reproductive-sensitive period.</t>
  </si>
  <si>
    <t>Sum of daily precipitation within T02 for each county-year.</t>
  </si>
  <si>
    <t>Represents typical temperature during the reproductive-sensitive period.</t>
  </si>
  <si>
    <t>Arithmetic mean of daily tavg values within T02 for each county-year.</t>
  </si>
  <si>
    <t>https://doi.org/10.1016/j.agrformet.2024.110340 ; https://doi.org/10.1016/j.agrformet.2024.110286</t>
  </si>
  <si>
    <t>Model 2 predictor. Precipitation in mm; does not directly measure soil moisture.</t>
  </si>
  <si>
    <t>Represents cumulative early-season moisture input.</t>
  </si>
  <si>
    <t>Sum of daily precipitation within T01 for each county-year.</t>
  </si>
  <si>
    <t>Model 2 predictor. Temperature in °C; calculated separately for each county-year.</t>
  </si>
  <si>
    <t>Represents typical thermal conditions during the early growing season.</t>
  </si>
  <si>
    <t>Arithmetic mean of daily tavg values within T01 for each county-year.</t>
  </si>
  <si>
    <t>Recent-yield representation finalized in M06 as previous-year county yield (lag-1).</t>
  </si>
  <si>
    <t>A 2012 validation start provides an initial 2001–2011 training period with 952 usable county-year observations across 91 counties while preserving 10 annual out-of-time validation folds through 2021. All counties appearing in the 2012–2021 validation folds are represented previously in the corresponding training data, avoiding unseen county levels. The expanding-window design also reflects the intended forecasting setting by ensuring that only earlier years are used to predict later years.</t>
  </si>
  <si>
    <t>Initial training begins in 2001 after lag-1 yield was selected as the recent-history predictor. The earlier 2003 start was used only for the M06 candidate comparison because the alternative 3-year history feature required three preceding years.</t>
  </si>
  <si>
    <t>Development-data audit identified a strong correlation with E01 hot-day count (r = 0.95). Both are retained because they represent different concepts; multicollinearity will be evaluated during linear-model development using pre-2022 data.</t>
  </si>
  <si>
    <t>Development-data audit confirmed substantial variation. Strong correlation with W03 July mean temperature (r = 0.95) will be evaluated for multicollinearity during linear-model development; feature retained because it represents threshold-based heat frequency rather than average temperature.</t>
  </si>
  <si>
    <t>Development-data audit found nonzero exposure in 287 of 2,024 county-years (14.2%). Although sparse, the feature captures severe heat events and is not redundant with E01 (overall r = 0.41; r = 0.60 among nonzero E02 observations). Retained.</t>
  </si>
  <si>
    <t>Development-data audit showed adequate variation (4–25 days; median 9 days) and plausible spatial-temporal clustering. Retained without modification.</t>
  </si>
  <si>
    <t>Development-data audit showed adequate variation (24.5–254 mm; median 75.5 mm) and plausible clustered extreme events. Retained without modification.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</si>
</sst>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i/>
      <sz val="11"/>
      <color rgb="FF1F4E78"/>
      <name val="Carlito"/>
    </font>
    <font>
      <sz val="11"/>
      <name val="Carlito"/>
    </font>
    <font>
      <sz val="11"/>
      <name val="Cascadia Code"/>
      <family val="3"/>
    </font>
    <font>
      <i/>
      <sz val="11"/>
      <color rgb="FF4F4F4F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6F8"/>
      </patternFill>
    </fill>
    <fill>
      <patternFill patternType="solid">
        <fgColor rgb="FFEAF2F8"/>
      </patternFill>
    </fill>
    <fill>
      <patternFill patternType="solid">
        <fgColor rgb="FFB7DEEF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5B85"/>
      </patternFill>
    </fill>
    <fill>
      <patternFill patternType="solid">
        <fgColor rgb="FFD9EEF8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21">
    <xf numFmtId="0" fontId="0" fillId="0" borderId="0" xfId="0"/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0" borderId="1" xfId="1"/>
    <xf numFmtId="0" fontId="5" fillId="6" borderId="1" xfId="1" applyFill="1" applyAlignment="1">
      <alignment vertical="top" wrapText="1"/>
    </xf>
    <xf numFmtId="0" fontId="5" fillId="7" borderId="1" xfId="1" applyFill="1" applyAlignment="1">
      <alignment vertical="top" wrapText="1"/>
    </xf>
    <xf numFmtId="0" fontId="5" fillId="8" borderId="1" xfId="1" applyFill="1" applyAlignment="1">
      <alignment vertical="top" wrapText="1"/>
    </xf>
    <xf numFmtId="0" fontId="3" fillId="9" borderId="1" xfId="1" applyFont="1" applyFill="1" applyAlignment="1">
      <alignment horizontal="center" vertical="center" wrapText="1"/>
    </xf>
    <xf numFmtId="0" fontId="5" fillId="11" borderId="1" xfId="1" applyFill="1" applyAlignment="1">
      <alignment vertical="top" wrapText="1"/>
    </xf>
    <xf numFmtId="0" fontId="3" fillId="9" borderId="1" xfId="1" applyFont="1" applyFill="1" applyAlignment="1">
      <alignment horizontal="center" vertical="center"/>
    </xf>
    <xf numFmtId="0" fontId="7" fillId="10" borderId="1" xfId="1" applyFont="1" applyFill="1" applyAlignment="1">
      <alignment horizontal="center" vertical="center"/>
    </xf>
    <xf numFmtId="0" fontId="3" fillId="9" borderId="1" xfId="1" applyFont="1" applyFill="1" applyAlignment="1">
      <alignment horizontal="center" vertical="center" wrapText="1"/>
    </xf>
    <xf numFmtId="0" fontId="5" fillId="4" borderId="1" xfId="1" applyFill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4" borderId="0" xfId="0" applyFill="1" applyAlignment="1">
      <alignment vertical="top" wrapText="1"/>
    </xf>
    <xf numFmtId="0" fontId="4" fillId="5" borderId="0" xfId="0" applyFont="1" applyFill="1" applyAlignment="1">
      <alignment vertical="center" wrapText="1"/>
    </xf>
  </cellXfs>
  <cellStyles count="2">
    <cellStyle name="Normal" xfId="0" builtinId="0"/>
    <cellStyle name="Normal 2" xfId="1" xr:uid="{BD758D63-8460-4958-B8D6-FC776CB20557}"/>
  </cellStyles>
  <dxfs count="19"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ologyDecisionsTable" displayName="MethodologyDecisionsTable" ref="A10:K32" totalsRowShown="0" headerRowDxfId="18" dataDxfId="17">
  <tableColumns count="11">
    <tableColumn id="1" xr3:uid="{00000000-0010-0000-0000-000001000000}" name="Decision ID" dataDxfId="16"/>
    <tableColumn id="2" xr3:uid="{00000000-0010-0000-0000-000002000000}" name="Category" dataDxfId="15"/>
    <tableColumn id="3" xr3:uid="{00000000-0010-0000-0000-000003000000}" name="Decision Question" dataDxfId="14"/>
    <tableColumn id="4" xr3:uid="{00000000-0010-0000-0000-000004000000}" name="Current Decision" dataDxfId="13"/>
    <tableColumn id="5" xr3:uid="{00000000-0010-0000-0000-000005000000}" name="Status" dataDxfId="12"/>
    <tableColumn id="6" xr3:uid="{00000000-0010-0000-0000-000006000000}" name="Evidence / Basis" dataDxfId="11"/>
    <tableColumn id="7" xr3:uid="{00000000-0010-0000-0000-000007000000}" name="Rationale" dataDxfId="10"/>
    <tableColumn id="8" xr3:uid="{00000000-0010-0000-0000-000008000000}" name="Leakage / Bias Consideration" dataDxfId="9"/>
    <tableColumn id="9" xr3:uid="{00000000-0010-0000-0000-000009000000}" name="Implementation" dataDxfId="8"/>
    <tableColumn id="10" xr3:uid="{00000000-0010-0000-0000-00000A000000}" name="Date Locked" dataDxfId="7"/>
    <tableColumn id="11" xr3:uid="{00000000-0010-0000-0000-00000B000000}" name="Not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zoomScale="80" zoomScaleNormal="80" workbookViewId="0">
      <selection activeCell="K20" sqref="K20"/>
    </sheetView>
  </sheetViews>
  <sheetFormatPr defaultRowHeight="13.5"/>
  <cols>
    <col min="1" max="1" width="11" style="3" customWidth="1"/>
    <col min="2" max="2" width="19" style="3" customWidth="1"/>
    <col min="3" max="3" width="30" style="3" customWidth="1"/>
    <col min="4" max="4" width="42" style="3" customWidth="1"/>
    <col min="5" max="5" width="18" style="3" customWidth="1"/>
    <col min="6" max="6" width="32" style="3" customWidth="1"/>
    <col min="7" max="7" width="38" style="3" customWidth="1"/>
    <col min="8" max="8" width="42" style="3" customWidth="1"/>
    <col min="9" max="9" width="28" style="3" customWidth="1"/>
    <col min="10" max="10" width="14" style="3" customWidth="1"/>
    <col min="11" max="11" width="34" style="3" customWidth="1"/>
    <col min="12" max="16384" width="9" style="3"/>
  </cols>
  <sheetData>
    <row r="1" spans="1:11" ht="14" customHeight="1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12" customHeight="1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4" spans="1:11" ht="11" customHeight="1">
      <c r="A4" s="1" t="s">
        <v>2</v>
      </c>
      <c r="B4" s="1" t="s">
        <v>3</v>
      </c>
      <c r="D4" s="18" t="s">
        <v>4</v>
      </c>
      <c r="E4" s="18"/>
      <c r="F4" s="18"/>
      <c r="G4" s="18"/>
      <c r="H4" s="18"/>
      <c r="I4" s="18"/>
      <c r="J4" s="18"/>
      <c r="K4" s="18"/>
    </row>
    <row r="5" spans="1:11" ht="14" customHeight="1">
      <c r="A5" s="3" t="s">
        <v>5</v>
      </c>
      <c r="B5" s="3">
        <f>COUNTIF(E11:E32,"Final")</f>
        <v>20</v>
      </c>
      <c r="D5" s="19" t="s">
        <v>6</v>
      </c>
      <c r="E5" s="19"/>
      <c r="F5" s="19"/>
      <c r="G5" s="19"/>
      <c r="H5" s="19"/>
      <c r="I5" s="19"/>
      <c r="J5" s="19"/>
      <c r="K5" s="19"/>
    </row>
    <row r="6" spans="1:11" ht="14" customHeight="1">
      <c r="A6" s="3" t="s">
        <v>7</v>
      </c>
      <c r="B6" s="3">
        <f>COUNTIF(E11:E32,"Provisional")</f>
        <v>2</v>
      </c>
      <c r="D6" s="19"/>
      <c r="E6" s="19"/>
      <c r="F6" s="19"/>
      <c r="G6" s="19"/>
      <c r="H6" s="19"/>
      <c r="I6" s="19"/>
      <c r="J6" s="19"/>
      <c r="K6" s="19"/>
    </row>
    <row r="7" spans="1:11" ht="14" customHeight="1">
      <c r="A7" s="3" t="s">
        <v>8</v>
      </c>
      <c r="B7" s="3">
        <f>COUNTIF(E11:E32,"Needs Advisor Input")</f>
        <v>0</v>
      </c>
      <c r="D7" s="19"/>
      <c r="E7" s="19"/>
      <c r="F7" s="19"/>
      <c r="G7" s="19"/>
      <c r="H7" s="19"/>
      <c r="I7" s="19"/>
      <c r="J7" s="19"/>
      <c r="K7" s="19"/>
    </row>
    <row r="10" spans="1:11" ht="18" customHeight="1">
      <c r="A10" s="2" t="s">
        <v>9</v>
      </c>
      <c r="B10" s="2" t="s">
        <v>10</v>
      </c>
      <c r="C10" s="2" t="s">
        <v>11</v>
      </c>
      <c r="D10" s="2" t="s">
        <v>12</v>
      </c>
      <c r="E10" s="2" t="s">
        <v>13</v>
      </c>
      <c r="F10" s="2" t="s">
        <v>14</v>
      </c>
      <c r="G10" s="2" t="s">
        <v>15</v>
      </c>
      <c r="H10" s="2" t="s">
        <v>16</v>
      </c>
      <c r="I10" s="2" t="s">
        <v>17</v>
      </c>
      <c r="J10" s="2" t="s">
        <v>18</v>
      </c>
      <c r="K10" s="2" t="s">
        <v>19</v>
      </c>
    </row>
    <row r="11" spans="1:11" ht="27">
      <c r="A11" s="4" t="s">
        <v>20</v>
      </c>
      <c r="B11" s="4" t="s">
        <v>21</v>
      </c>
      <c r="C11" s="4" t="s">
        <v>22</v>
      </c>
      <c r="D11" s="4" t="s">
        <v>23</v>
      </c>
      <c r="E11" s="4" t="s">
        <v>5</v>
      </c>
      <c r="F11" s="4" t="s">
        <v>24</v>
      </c>
      <c r="G11" s="4" t="s">
        <v>25</v>
      </c>
      <c r="H11" s="4" t="s">
        <v>26</v>
      </c>
      <c r="I11" s="4" t="s">
        <v>27</v>
      </c>
      <c r="J11" s="5">
        <v>46279</v>
      </c>
      <c r="K11" s="4" t="s">
        <v>28</v>
      </c>
    </row>
    <row r="12" spans="1:11" ht="40.5">
      <c r="A12" s="4" t="s">
        <v>29</v>
      </c>
      <c r="B12" s="4" t="s">
        <v>30</v>
      </c>
      <c r="C12" s="4" t="s">
        <v>31</v>
      </c>
      <c r="D12" s="4" t="s">
        <v>32</v>
      </c>
      <c r="E12" s="4" t="s">
        <v>5</v>
      </c>
      <c r="F12" s="4" t="s">
        <v>33</v>
      </c>
      <c r="G12" s="4" t="s">
        <v>34</v>
      </c>
      <c r="H12" s="4" t="s">
        <v>35</v>
      </c>
      <c r="I12" s="4" t="s">
        <v>36</v>
      </c>
      <c r="J12" s="5">
        <v>46279</v>
      </c>
      <c r="K12" s="4" t="s">
        <v>37</v>
      </c>
    </row>
    <row r="13" spans="1:11" ht="27">
      <c r="A13" s="4" t="s">
        <v>38</v>
      </c>
      <c r="B13" s="4" t="s">
        <v>39</v>
      </c>
      <c r="C13" s="4" t="s">
        <v>40</v>
      </c>
      <c r="D13" s="4" t="s">
        <v>41</v>
      </c>
      <c r="E13" s="4" t="s">
        <v>5</v>
      </c>
      <c r="F13" s="4" t="s">
        <v>42</v>
      </c>
      <c r="G13" s="4" t="s">
        <v>43</v>
      </c>
      <c r="H13" s="4" t="s">
        <v>44</v>
      </c>
      <c r="I13" s="4" t="s">
        <v>45</v>
      </c>
      <c r="J13" s="5">
        <v>46279</v>
      </c>
      <c r="K13" s="4" t="s">
        <v>46</v>
      </c>
    </row>
    <row r="14" spans="1:11" ht="40.5">
      <c r="A14" s="4" t="s">
        <v>47</v>
      </c>
      <c r="B14" s="4" t="s">
        <v>48</v>
      </c>
      <c r="C14" s="4" t="s">
        <v>49</v>
      </c>
      <c r="D14" s="4" t="s">
        <v>50</v>
      </c>
      <c r="E14" s="4" t="s">
        <v>5</v>
      </c>
      <c r="F14" s="4" t="s">
        <v>51</v>
      </c>
      <c r="G14" s="4" t="s">
        <v>52</v>
      </c>
      <c r="H14" s="4" t="s">
        <v>53</v>
      </c>
      <c r="I14" s="4" t="s">
        <v>54</v>
      </c>
      <c r="J14" s="5">
        <v>46279</v>
      </c>
      <c r="K14" s="4" t="s">
        <v>55</v>
      </c>
    </row>
    <row r="15" spans="1:11" ht="108">
      <c r="A15" s="4" t="s">
        <v>56</v>
      </c>
      <c r="B15" s="4" t="s">
        <v>57</v>
      </c>
      <c r="C15" s="4" t="s">
        <v>202</v>
      </c>
      <c r="D15" s="4" t="s">
        <v>203</v>
      </c>
      <c r="E15" s="4" t="s">
        <v>5</v>
      </c>
      <c r="F15" s="4" t="s">
        <v>58</v>
      </c>
      <c r="G15" s="4" t="s">
        <v>204</v>
      </c>
      <c r="H15" s="4" t="s">
        <v>205</v>
      </c>
      <c r="I15" s="4" t="s">
        <v>206</v>
      </c>
      <c r="J15" s="5">
        <v>46266</v>
      </c>
      <c r="K15" s="4" t="s">
        <v>373</v>
      </c>
    </row>
    <row r="16" spans="1:11" ht="175.5">
      <c r="A16" s="4" t="s">
        <v>59</v>
      </c>
      <c r="B16" s="4" t="s">
        <v>60</v>
      </c>
      <c r="C16" s="4" t="s">
        <v>207</v>
      </c>
      <c r="D16" s="4" t="s">
        <v>210</v>
      </c>
      <c r="E16" s="4" t="s">
        <v>5</v>
      </c>
      <c r="F16" s="4" t="s">
        <v>211</v>
      </c>
      <c r="G16" s="4" t="s">
        <v>212</v>
      </c>
      <c r="H16" s="4" t="s">
        <v>213</v>
      </c>
      <c r="I16" s="4" t="s">
        <v>214</v>
      </c>
      <c r="J16" s="5">
        <v>46266</v>
      </c>
      <c r="K16" s="4" t="s">
        <v>215</v>
      </c>
    </row>
    <row r="17" spans="1:11" ht="40.5">
      <c r="A17" s="4" t="s">
        <v>61</v>
      </c>
      <c r="B17" s="4" t="s">
        <v>62</v>
      </c>
      <c r="C17" s="4" t="s">
        <v>63</v>
      </c>
      <c r="D17" s="4" t="s">
        <v>64</v>
      </c>
      <c r="E17" s="4" t="s">
        <v>5</v>
      </c>
      <c r="F17" s="4" t="s">
        <v>65</v>
      </c>
      <c r="G17" s="4" t="s">
        <v>66</v>
      </c>
      <c r="H17" s="4" t="s">
        <v>67</v>
      </c>
      <c r="I17" s="4" t="s">
        <v>68</v>
      </c>
      <c r="J17" s="5"/>
      <c r="K17" s="4" t="s">
        <v>69</v>
      </c>
    </row>
    <row r="18" spans="1:11" ht="27">
      <c r="A18" s="4" t="s">
        <v>70</v>
      </c>
      <c r="B18" s="4" t="s">
        <v>71</v>
      </c>
      <c r="C18" s="4" t="s">
        <v>72</v>
      </c>
      <c r="D18" s="4" t="s">
        <v>73</v>
      </c>
      <c r="E18" s="4" t="s">
        <v>5</v>
      </c>
      <c r="F18" s="4" t="s">
        <v>74</v>
      </c>
      <c r="G18" s="4" t="s">
        <v>75</v>
      </c>
      <c r="H18" s="4" t="s">
        <v>76</v>
      </c>
      <c r="I18" s="4" t="s">
        <v>77</v>
      </c>
      <c r="J18" s="5"/>
      <c r="K18" s="4" t="s">
        <v>78</v>
      </c>
    </row>
    <row r="19" spans="1:11" ht="40.5">
      <c r="A19" s="4" t="s">
        <v>79</v>
      </c>
      <c r="B19" s="4" t="s">
        <v>80</v>
      </c>
      <c r="C19" s="4" t="s">
        <v>81</v>
      </c>
      <c r="D19" s="4" t="s">
        <v>82</v>
      </c>
      <c r="E19" s="4" t="s">
        <v>5</v>
      </c>
      <c r="F19" s="4" t="s">
        <v>83</v>
      </c>
      <c r="G19" s="4" t="s">
        <v>84</v>
      </c>
      <c r="H19" s="4" t="s">
        <v>85</v>
      </c>
      <c r="I19" s="4" t="s">
        <v>86</v>
      </c>
      <c r="J19" s="5"/>
      <c r="K19" s="4" t="s">
        <v>87</v>
      </c>
    </row>
    <row r="20" spans="1:11" ht="162">
      <c r="A20" s="4" t="s">
        <v>88</v>
      </c>
      <c r="B20" s="4" t="s">
        <v>89</v>
      </c>
      <c r="C20" s="4" t="s">
        <v>90</v>
      </c>
      <c r="D20" s="4" t="s">
        <v>208</v>
      </c>
      <c r="E20" s="4" t="s">
        <v>5</v>
      </c>
      <c r="F20" s="4" t="s">
        <v>91</v>
      </c>
      <c r="G20" s="4" t="s">
        <v>374</v>
      </c>
      <c r="H20" s="4" t="s">
        <v>209</v>
      </c>
      <c r="I20" s="4" t="s">
        <v>92</v>
      </c>
      <c r="J20" s="5">
        <v>46279</v>
      </c>
      <c r="K20" s="4" t="s">
        <v>375</v>
      </c>
    </row>
    <row r="21" spans="1:11" ht="27">
      <c r="A21" s="4" t="s">
        <v>93</v>
      </c>
      <c r="B21" s="4" t="s">
        <v>94</v>
      </c>
      <c r="C21" s="4" t="s">
        <v>95</v>
      </c>
      <c r="D21" s="4" t="s">
        <v>96</v>
      </c>
      <c r="E21" s="4" t="s">
        <v>5</v>
      </c>
      <c r="F21" s="4" t="s">
        <v>97</v>
      </c>
      <c r="G21" s="4" t="s">
        <v>98</v>
      </c>
      <c r="H21" s="4" t="s">
        <v>99</v>
      </c>
      <c r="I21" s="4" t="s">
        <v>100</v>
      </c>
      <c r="J21" s="5">
        <v>46279</v>
      </c>
      <c r="K21" s="4" t="s">
        <v>101</v>
      </c>
    </row>
    <row r="22" spans="1:11" ht="40.5">
      <c r="A22" s="4" t="s">
        <v>102</v>
      </c>
      <c r="B22" s="4" t="s">
        <v>103</v>
      </c>
      <c r="C22" s="4" t="s">
        <v>104</v>
      </c>
      <c r="D22" s="4" t="s">
        <v>105</v>
      </c>
      <c r="E22" s="4" t="s">
        <v>5</v>
      </c>
      <c r="F22" s="4" t="s">
        <v>106</v>
      </c>
      <c r="G22" s="4" t="s">
        <v>107</v>
      </c>
      <c r="H22" s="4" t="s">
        <v>108</v>
      </c>
      <c r="I22" s="4" t="s">
        <v>109</v>
      </c>
      <c r="J22" s="5">
        <v>46279</v>
      </c>
      <c r="K22" s="4" t="s">
        <v>110</v>
      </c>
    </row>
    <row r="23" spans="1:11" ht="40.5">
      <c r="A23" s="4" t="s">
        <v>111</v>
      </c>
      <c r="B23" s="4" t="s">
        <v>112</v>
      </c>
      <c r="C23" s="4" t="s">
        <v>113</v>
      </c>
      <c r="D23" s="4" t="s">
        <v>114</v>
      </c>
      <c r="E23" s="4" t="s">
        <v>5</v>
      </c>
      <c r="F23" s="4" t="s">
        <v>115</v>
      </c>
      <c r="G23" s="4" t="s">
        <v>116</v>
      </c>
      <c r="H23" s="4" t="s">
        <v>117</v>
      </c>
      <c r="I23" s="4" t="s">
        <v>118</v>
      </c>
      <c r="J23" s="5">
        <v>46279</v>
      </c>
      <c r="K23" s="4" t="s">
        <v>119</v>
      </c>
    </row>
    <row r="24" spans="1:11" ht="40.5">
      <c r="A24" s="4" t="s">
        <v>120</v>
      </c>
      <c r="B24" s="4" t="s">
        <v>121</v>
      </c>
      <c r="C24" s="4" t="s">
        <v>122</v>
      </c>
      <c r="D24" s="4" t="s">
        <v>123</v>
      </c>
      <c r="E24" s="4" t="s">
        <v>5</v>
      </c>
      <c r="F24" s="4" t="s">
        <v>124</v>
      </c>
      <c r="G24" s="4" t="s">
        <v>125</v>
      </c>
      <c r="H24" s="4" t="s">
        <v>126</v>
      </c>
      <c r="I24" s="4" t="s">
        <v>127</v>
      </c>
      <c r="J24" s="5">
        <v>46279</v>
      </c>
      <c r="K24" s="4" t="s">
        <v>128</v>
      </c>
    </row>
    <row r="25" spans="1:11" ht="40.5">
      <c r="A25" s="4" t="s">
        <v>129</v>
      </c>
      <c r="B25" s="4" t="s">
        <v>130</v>
      </c>
      <c r="C25" s="4" t="s">
        <v>131</v>
      </c>
      <c r="D25" s="4" t="s">
        <v>132</v>
      </c>
      <c r="E25" s="4" t="s">
        <v>5</v>
      </c>
      <c r="F25" s="4" t="s">
        <v>133</v>
      </c>
      <c r="G25" s="4" t="s">
        <v>134</v>
      </c>
      <c r="H25" s="4" t="s">
        <v>135</v>
      </c>
      <c r="I25" s="4" t="s">
        <v>136</v>
      </c>
      <c r="J25" s="5">
        <v>46279</v>
      </c>
      <c r="K25" s="4" t="s">
        <v>137</v>
      </c>
    </row>
    <row r="26" spans="1:11" ht="40.5">
      <c r="A26" s="4" t="s">
        <v>138</v>
      </c>
      <c r="B26" s="4" t="s">
        <v>139</v>
      </c>
      <c r="C26" s="4" t="s">
        <v>140</v>
      </c>
      <c r="D26" s="4" t="s">
        <v>141</v>
      </c>
      <c r="E26" s="4" t="s">
        <v>5</v>
      </c>
      <c r="F26" s="4" t="s">
        <v>142</v>
      </c>
      <c r="G26" s="4" t="s">
        <v>143</v>
      </c>
      <c r="H26" s="4" t="s">
        <v>144</v>
      </c>
      <c r="I26" s="4" t="s">
        <v>145</v>
      </c>
      <c r="J26" s="5">
        <v>46279</v>
      </c>
      <c r="K26" s="4" t="s">
        <v>146</v>
      </c>
    </row>
    <row r="27" spans="1:11" ht="40.5">
      <c r="A27" s="4" t="s">
        <v>147</v>
      </c>
      <c r="B27" s="4" t="s">
        <v>148</v>
      </c>
      <c r="C27" s="4" t="s">
        <v>149</v>
      </c>
      <c r="D27" s="4" t="s">
        <v>150</v>
      </c>
      <c r="E27" s="4" t="s">
        <v>5</v>
      </c>
      <c r="F27" s="4" t="s">
        <v>151</v>
      </c>
      <c r="G27" s="4" t="s">
        <v>152</v>
      </c>
      <c r="H27" s="4" t="s">
        <v>153</v>
      </c>
      <c r="I27" s="4" t="s">
        <v>154</v>
      </c>
      <c r="J27" s="5">
        <v>46279</v>
      </c>
      <c r="K27" s="4" t="s">
        <v>155</v>
      </c>
    </row>
    <row r="28" spans="1:11" ht="81">
      <c r="A28" s="4" t="s">
        <v>156</v>
      </c>
      <c r="B28" s="4" t="s">
        <v>157</v>
      </c>
      <c r="C28" s="4" t="s">
        <v>158</v>
      </c>
      <c r="D28" s="4" t="s">
        <v>159</v>
      </c>
      <c r="E28" s="4" t="s">
        <v>7</v>
      </c>
      <c r="F28" s="4" t="s">
        <v>160</v>
      </c>
      <c r="G28" s="4" t="s">
        <v>161</v>
      </c>
      <c r="H28" s="4" t="s">
        <v>162</v>
      </c>
      <c r="I28" s="4" t="s">
        <v>163</v>
      </c>
      <c r="J28" s="5"/>
      <c r="K28" s="4" t="s">
        <v>164</v>
      </c>
    </row>
    <row r="29" spans="1:11" ht="40.5">
      <c r="A29" s="4" t="s">
        <v>165</v>
      </c>
      <c r="B29" s="4" t="s">
        <v>166</v>
      </c>
      <c r="C29" s="4" t="s">
        <v>167</v>
      </c>
      <c r="D29" s="4" t="s">
        <v>168</v>
      </c>
      <c r="E29" s="4" t="s">
        <v>7</v>
      </c>
      <c r="F29" s="4" t="s">
        <v>169</v>
      </c>
      <c r="G29" s="4" t="s">
        <v>170</v>
      </c>
      <c r="H29" s="4" t="s">
        <v>171</v>
      </c>
      <c r="I29" s="4" t="s">
        <v>172</v>
      </c>
      <c r="J29" s="5"/>
      <c r="K29" s="4" t="s">
        <v>173</v>
      </c>
    </row>
    <row r="30" spans="1:11" ht="54">
      <c r="A30" s="4" t="s">
        <v>174</v>
      </c>
      <c r="B30" s="4" t="s">
        <v>175</v>
      </c>
      <c r="C30" s="4" t="s">
        <v>176</v>
      </c>
      <c r="D30" s="4" t="s">
        <v>177</v>
      </c>
      <c r="E30" s="4" t="s">
        <v>5</v>
      </c>
      <c r="F30" s="4" t="s">
        <v>178</v>
      </c>
      <c r="G30" s="4" t="s">
        <v>179</v>
      </c>
      <c r="H30" s="4" t="s">
        <v>180</v>
      </c>
      <c r="I30" s="4" t="s">
        <v>181</v>
      </c>
      <c r="J30" s="5">
        <v>46279</v>
      </c>
      <c r="K30" s="4" t="s">
        <v>182</v>
      </c>
    </row>
    <row r="31" spans="1:11" ht="40.5">
      <c r="A31" s="4" t="s">
        <v>183</v>
      </c>
      <c r="B31" s="4" t="s">
        <v>184</v>
      </c>
      <c r="C31" s="4" t="s">
        <v>185</v>
      </c>
      <c r="D31" s="4" t="s">
        <v>186</v>
      </c>
      <c r="E31" s="4" t="s">
        <v>5</v>
      </c>
      <c r="F31" s="4" t="s">
        <v>187</v>
      </c>
      <c r="G31" s="4" t="s">
        <v>188</v>
      </c>
      <c r="H31" s="4" t="s">
        <v>189</v>
      </c>
      <c r="I31" s="4" t="s">
        <v>190</v>
      </c>
      <c r="J31" s="5">
        <v>46279</v>
      </c>
      <c r="K31" s="4" t="s">
        <v>191</v>
      </c>
    </row>
    <row r="32" spans="1:11" ht="40.5">
      <c r="A32" s="4" t="s">
        <v>192</v>
      </c>
      <c r="B32" s="4" t="s">
        <v>193</v>
      </c>
      <c r="C32" s="4" t="s">
        <v>194</v>
      </c>
      <c r="D32" s="4" t="s">
        <v>195</v>
      </c>
      <c r="E32" s="4" t="s">
        <v>5</v>
      </c>
      <c r="F32" s="4" t="s">
        <v>196</v>
      </c>
      <c r="G32" s="4" t="s">
        <v>197</v>
      </c>
      <c r="H32" s="4" t="s">
        <v>198</v>
      </c>
      <c r="I32" s="4" t="s">
        <v>199</v>
      </c>
      <c r="J32" s="5">
        <v>46279</v>
      </c>
      <c r="K32" s="4" t="s">
        <v>200</v>
      </c>
    </row>
    <row r="34" spans="1:11" ht="18" customHeight="1">
      <c r="A34" s="20" t="s">
        <v>201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</row>
  </sheetData>
  <mergeCells count="5">
    <mergeCell ref="A1:K1"/>
    <mergeCell ref="A2:K2"/>
    <mergeCell ref="D4:K4"/>
    <mergeCell ref="D5:K7"/>
    <mergeCell ref="A34:K34"/>
  </mergeCells>
  <conditionalFormatting sqref="E11:E32">
    <cfRule type="expression" dxfId="5" priority="1">
      <formula>E11="Final"</formula>
    </cfRule>
    <cfRule type="expression" dxfId="4" priority="2">
      <formula>E11="Provisional"</formula>
    </cfRule>
    <cfRule type="expression" dxfId="3" priority="3">
      <formula>E11="Needs Advisor Input"</formula>
    </cfRule>
  </conditionalFormatting>
  <dataValidations count="1">
    <dataValidation type="list" sqref="E11:E32" xr:uid="{00000000-0002-0000-0000-000000000000}">
      <formula1>"Final,Provisional,Needs Advisor Input"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D7CF-E9FF-4C73-A1F4-5738D71FF7AC}">
  <dimension ref="A1:M27"/>
  <sheetViews>
    <sheetView tabSelected="1" topLeftCell="F16" zoomScale="80" zoomScaleNormal="80" workbookViewId="0">
      <selection activeCell="L22" sqref="L22"/>
    </sheetView>
  </sheetViews>
  <sheetFormatPr defaultRowHeight="13.5"/>
  <cols>
    <col min="1" max="1" width="11" style="6" customWidth="1"/>
    <col min="2" max="2" width="18" style="6" customWidth="1"/>
    <col min="3" max="4" width="28" style="6" customWidth="1"/>
    <col min="5" max="5" width="20" style="6" customWidth="1"/>
    <col min="6" max="6" width="38" style="6" customWidth="1"/>
    <col min="7" max="7" width="16" style="6" customWidth="1"/>
    <col min="8" max="8" width="34" style="6" customWidth="1"/>
    <col min="9" max="9" width="14" style="6" customWidth="1"/>
    <col min="10" max="10" width="30" style="6" customWidth="1"/>
    <col min="11" max="11" width="38" style="6" customWidth="1"/>
    <col min="12" max="13" width="40" style="6" customWidth="1"/>
    <col min="14" max="16384" width="9" style="6"/>
  </cols>
  <sheetData>
    <row r="1" spans="1:13" ht="14" customHeight="1">
      <c r="A1" s="12" t="s">
        <v>256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spans="1:13" ht="27.75">
      <c r="A4" s="10" t="s">
        <v>255</v>
      </c>
      <c r="B4" s="10" t="s">
        <v>3</v>
      </c>
      <c r="D4" s="14" t="s">
        <v>4</v>
      </c>
      <c r="E4" s="14"/>
      <c r="F4" s="14"/>
      <c r="G4" s="14"/>
      <c r="H4" s="14"/>
      <c r="I4" s="14"/>
      <c r="J4" s="14"/>
      <c r="K4" s="14"/>
      <c r="L4" s="14"/>
      <c r="M4" s="14"/>
    </row>
    <row r="5" spans="1:13" ht="14" customHeight="1">
      <c r="A5" s="6" t="s">
        <v>5</v>
      </c>
      <c r="B5" s="6">
        <f>COUNTIF(I11:I200,"Final")</f>
        <v>13</v>
      </c>
      <c r="D5" s="15" t="s">
        <v>254</v>
      </c>
      <c r="E5" s="15"/>
      <c r="F5" s="15"/>
      <c r="G5" s="15"/>
      <c r="H5" s="15"/>
      <c r="I5" s="15"/>
      <c r="J5" s="15"/>
      <c r="K5" s="15"/>
      <c r="L5" s="15"/>
      <c r="M5" s="15"/>
    </row>
    <row r="6" spans="1:13" ht="14" customHeight="1">
      <c r="A6" s="6" t="s">
        <v>7</v>
      </c>
      <c r="B6" s="6">
        <f>COUNTIF(I11:I200,"Provisional")</f>
        <v>0</v>
      </c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13" ht="14" customHeight="1">
      <c r="A7" s="6" t="s">
        <v>253</v>
      </c>
      <c r="B7" s="6">
        <f>COUNTIF(I11:I200,"Excluded")</f>
        <v>4</v>
      </c>
      <c r="D7" s="15"/>
      <c r="E7" s="15"/>
      <c r="F7" s="15"/>
      <c r="G7" s="15"/>
      <c r="H7" s="15"/>
      <c r="I7" s="15"/>
      <c r="J7" s="15"/>
      <c r="K7" s="15"/>
      <c r="L7" s="15"/>
      <c r="M7" s="15"/>
    </row>
    <row r="10" spans="1:13" ht="16.05" customHeight="1">
      <c r="A10" s="10" t="s">
        <v>252</v>
      </c>
      <c r="B10" s="10" t="s">
        <v>251</v>
      </c>
      <c r="C10" s="10" t="s">
        <v>250</v>
      </c>
      <c r="D10" s="10" t="s">
        <v>249</v>
      </c>
      <c r="E10" s="10" t="s">
        <v>226</v>
      </c>
      <c r="F10" s="10" t="s">
        <v>248</v>
      </c>
      <c r="G10" s="10" t="s">
        <v>247</v>
      </c>
      <c r="H10" s="10" t="s">
        <v>246</v>
      </c>
      <c r="I10" s="10" t="s">
        <v>13</v>
      </c>
      <c r="J10" s="10" t="s">
        <v>245</v>
      </c>
      <c r="K10" s="10" t="s">
        <v>15</v>
      </c>
      <c r="L10" s="10" t="s">
        <v>19</v>
      </c>
      <c r="M10" s="10" t="s">
        <v>244</v>
      </c>
    </row>
    <row r="11" spans="1:13" ht="81">
      <c r="A11" s="7" t="s">
        <v>243</v>
      </c>
      <c r="B11" s="7" t="s">
        <v>226</v>
      </c>
      <c r="C11" s="7" t="s">
        <v>242</v>
      </c>
      <c r="D11" s="7" t="s">
        <v>224</v>
      </c>
      <c r="E11" s="7" t="s">
        <v>241</v>
      </c>
      <c r="F11" s="7" t="s">
        <v>240</v>
      </c>
      <c r="G11" s="7" t="s">
        <v>221</v>
      </c>
      <c r="H11" s="7" t="s">
        <v>239</v>
      </c>
      <c r="I11" s="8" t="s">
        <v>5</v>
      </c>
      <c r="J11" s="7" t="s">
        <v>219</v>
      </c>
      <c r="K11" s="7" t="s">
        <v>238</v>
      </c>
      <c r="L11" s="7" t="s">
        <v>237</v>
      </c>
      <c r="M11" s="7" t="s">
        <v>236</v>
      </c>
    </row>
    <row r="12" spans="1:13" ht="67.5">
      <c r="A12" s="9" t="s">
        <v>235</v>
      </c>
      <c r="B12" s="9" t="s">
        <v>226</v>
      </c>
      <c r="C12" s="9" t="s">
        <v>234</v>
      </c>
      <c r="D12" s="9" t="s">
        <v>224</v>
      </c>
      <c r="E12" s="9" t="s">
        <v>233</v>
      </c>
      <c r="F12" s="9" t="s">
        <v>232</v>
      </c>
      <c r="G12" s="9" t="s">
        <v>221</v>
      </c>
      <c r="H12" s="9" t="s">
        <v>231</v>
      </c>
      <c r="I12" s="8" t="s">
        <v>5</v>
      </c>
      <c r="J12" s="9" t="s">
        <v>219</v>
      </c>
      <c r="K12" s="9" t="s">
        <v>230</v>
      </c>
      <c r="L12" s="9" t="s">
        <v>229</v>
      </c>
      <c r="M12" s="9" t="s">
        <v>228</v>
      </c>
    </row>
    <row r="13" spans="1:13" ht="54">
      <c r="A13" s="7" t="s">
        <v>227</v>
      </c>
      <c r="B13" s="7" t="s">
        <v>226</v>
      </c>
      <c r="C13" s="7" t="s">
        <v>225</v>
      </c>
      <c r="D13" s="7" t="s">
        <v>224</v>
      </c>
      <c r="E13" s="7" t="s">
        <v>223</v>
      </c>
      <c r="F13" s="7" t="s">
        <v>222</v>
      </c>
      <c r="G13" s="7" t="s">
        <v>221</v>
      </c>
      <c r="H13" s="7" t="s">
        <v>220</v>
      </c>
      <c r="I13" s="8" t="s">
        <v>5</v>
      </c>
      <c r="J13" s="7" t="s">
        <v>219</v>
      </c>
      <c r="K13" s="7" t="s">
        <v>218</v>
      </c>
      <c r="L13" s="7" t="s">
        <v>217</v>
      </c>
      <c r="M13" s="7" t="s">
        <v>216</v>
      </c>
    </row>
    <row r="14" spans="1:13" ht="40.5">
      <c r="A14" s="7" t="s">
        <v>257</v>
      </c>
      <c r="B14" s="7" t="s">
        <v>258</v>
      </c>
      <c r="C14" s="7" t="s">
        <v>259</v>
      </c>
      <c r="D14" s="7" t="s">
        <v>260</v>
      </c>
      <c r="E14" s="7" t="s">
        <v>261</v>
      </c>
      <c r="F14" s="7" t="s">
        <v>372</v>
      </c>
      <c r="G14" s="7" t="s">
        <v>221</v>
      </c>
      <c r="H14" s="7" t="s">
        <v>262</v>
      </c>
      <c r="I14" s="8" t="s">
        <v>5</v>
      </c>
      <c r="J14" s="7" t="s">
        <v>263</v>
      </c>
      <c r="K14" s="7" t="s">
        <v>371</v>
      </c>
      <c r="L14" s="7" t="s">
        <v>370</v>
      </c>
      <c r="M14" s="7" t="s">
        <v>366</v>
      </c>
    </row>
    <row r="15" spans="1:13" ht="40.5">
      <c r="A15" s="9" t="s">
        <v>264</v>
      </c>
      <c r="B15" s="9" t="s">
        <v>258</v>
      </c>
      <c r="C15" s="9" t="s">
        <v>265</v>
      </c>
      <c r="D15" s="9" t="s">
        <v>266</v>
      </c>
      <c r="E15" s="9" t="s">
        <v>261</v>
      </c>
      <c r="F15" s="9" t="s">
        <v>369</v>
      </c>
      <c r="G15" s="9" t="s">
        <v>221</v>
      </c>
      <c r="H15" s="9" t="s">
        <v>262</v>
      </c>
      <c r="I15" s="8" t="s">
        <v>5</v>
      </c>
      <c r="J15" s="9" t="s">
        <v>263</v>
      </c>
      <c r="K15" s="9" t="s">
        <v>368</v>
      </c>
      <c r="L15" s="9" t="s">
        <v>367</v>
      </c>
      <c r="M15" s="9" t="s">
        <v>366</v>
      </c>
    </row>
    <row r="16" spans="1:13" ht="81">
      <c r="A16" s="7" t="s">
        <v>267</v>
      </c>
      <c r="B16" s="7" t="s">
        <v>258</v>
      </c>
      <c r="C16" s="7" t="s">
        <v>268</v>
      </c>
      <c r="D16" s="7" t="s">
        <v>260</v>
      </c>
      <c r="E16" s="7" t="s">
        <v>269</v>
      </c>
      <c r="F16" s="7" t="s">
        <v>365</v>
      </c>
      <c r="G16" s="7" t="s">
        <v>221</v>
      </c>
      <c r="H16" s="7" t="s">
        <v>270</v>
      </c>
      <c r="I16" s="8" t="s">
        <v>5</v>
      </c>
      <c r="J16" s="7" t="s">
        <v>263</v>
      </c>
      <c r="K16" s="7" t="s">
        <v>364</v>
      </c>
      <c r="L16" s="7" t="s">
        <v>376</v>
      </c>
      <c r="M16" s="7" t="s">
        <v>360</v>
      </c>
    </row>
    <row r="17" spans="1:13" ht="40.5">
      <c r="A17" s="9" t="s">
        <v>271</v>
      </c>
      <c r="B17" s="9" t="s">
        <v>258</v>
      </c>
      <c r="C17" s="9" t="s">
        <v>272</v>
      </c>
      <c r="D17" s="9" t="s">
        <v>266</v>
      </c>
      <c r="E17" s="9" t="s">
        <v>269</v>
      </c>
      <c r="F17" s="9" t="s">
        <v>363</v>
      </c>
      <c r="G17" s="9" t="s">
        <v>221</v>
      </c>
      <c r="H17" s="9" t="s">
        <v>270</v>
      </c>
      <c r="I17" s="8" t="s">
        <v>5</v>
      </c>
      <c r="J17" s="9" t="s">
        <v>263</v>
      </c>
      <c r="K17" s="9" t="s">
        <v>362</v>
      </c>
      <c r="L17" s="9" t="s">
        <v>361</v>
      </c>
      <c r="M17" s="9" t="s">
        <v>360</v>
      </c>
    </row>
    <row r="18" spans="1:13" ht="40.5">
      <c r="A18" s="7" t="s">
        <v>273</v>
      </c>
      <c r="B18" s="7" t="s">
        <v>258</v>
      </c>
      <c r="C18" s="7" t="s">
        <v>274</v>
      </c>
      <c r="D18" s="7" t="s">
        <v>260</v>
      </c>
      <c r="E18" s="7" t="s">
        <v>356</v>
      </c>
      <c r="F18" s="7" t="s">
        <v>359</v>
      </c>
      <c r="G18" s="7" t="s">
        <v>221</v>
      </c>
      <c r="H18" s="7" t="s">
        <v>275</v>
      </c>
      <c r="I18" s="8" t="s">
        <v>5</v>
      </c>
      <c r="J18" s="7" t="s">
        <v>263</v>
      </c>
      <c r="K18" s="7" t="s">
        <v>358</v>
      </c>
      <c r="L18" s="7" t="s">
        <v>357</v>
      </c>
      <c r="M18" s="7" t="s">
        <v>352</v>
      </c>
    </row>
    <row r="19" spans="1:13" ht="40.5">
      <c r="A19" s="9" t="s">
        <v>276</v>
      </c>
      <c r="B19" s="9" t="s">
        <v>258</v>
      </c>
      <c r="C19" s="9" t="s">
        <v>277</v>
      </c>
      <c r="D19" s="9" t="s">
        <v>266</v>
      </c>
      <c r="E19" s="9" t="s">
        <v>356</v>
      </c>
      <c r="F19" s="9" t="s">
        <v>355</v>
      </c>
      <c r="G19" s="9" t="s">
        <v>221</v>
      </c>
      <c r="H19" s="9" t="s">
        <v>275</v>
      </c>
      <c r="I19" s="8" t="s">
        <v>5</v>
      </c>
      <c r="J19" s="9" t="s">
        <v>263</v>
      </c>
      <c r="K19" s="9" t="s">
        <v>354</v>
      </c>
      <c r="L19" s="9" t="s">
        <v>353</v>
      </c>
      <c r="M19" s="9" t="s">
        <v>352</v>
      </c>
    </row>
    <row r="20" spans="1:13" ht="94.5">
      <c r="A20" s="7" t="s">
        <v>351</v>
      </c>
      <c r="B20" s="7" t="s">
        <v>298</v>
      </c>
      <c r="C20" s="7" t="s">
        <v>350</v>
      </c>
      <c r="D20" s="7" t="s">
        <v>318</v>
      </c>
      <c r="E20" s="7" t="s">
        <v>269</v>
      </c>
      <c r="F20" s="7" t="s">
        <v>349</v>
      </c>
      <c r="G20" s="7" t="s">
        <v>348</v>
      </c>
      <c r="H20" s="7" t="s">
        <v>347</v>
      </c>
      <c r="I20" s="8" t="s">
        <v>5</v>
      </c>
      <c r="J20" s="7" t="s">
        <v>339</v>
      </c>
      <c r="K20" s="7" t="s">
        <v>346</v>
      </c>
      <c r="L20" s="7" t="s">
        <v>377</v>
      </c>
      <c r="M20" s="7" t="s">
        <v>345</v>
      </c>
    </row>
    <row r="21" spans="1:13" ht="81">
      <c r="A21" s="9" t="s">
        <v>344</v>
      </c>
      <c r="B21" s="9" t="s">
        <v>298</v>
      </c>
      <c r="C21" s="9" t="s">
        <v>343</v>
      </c>
      <c r="D21" s="9" t="s">
        <v>318</v>
      </c>
      <c r="E21" s="9" t="s">
        <v>269</v>
      </c>
      <c r="F21" s="9" t="s">
        <v>342</v>
      </c>
      <c r="G21" s="9" t="s">
        <v>341</v>
      </c>
      <c r="H21" s="9" t="s">
        <v>340</v>
      </c>
      <c r="I21" s="8" t="s">
        <v>5</v>
      </c>
      <c r="J21" s="9" t="s">
        <v>339</v>
      </c>
      <c r="K21" s="9" t="s">
        <v>338</v>
      </c>
      <c r="L21" s="9" t="s">
        <v>378</v>
      </c>
      <c r="M21" s="9" t="s">
        <v>337</v>
      </c>
    </row>
    <row r="22" spans="1:13" ht="54">
      <c r="A22" s="7" t="s">
        <v>336</v>
      </c>
      <c r="B22" s="7" t="s">
        <v>298</v>
      </c>
      <c r="C22" s="7" t="s">
        <v>335</v>
      </c>
      <c r="D22" s="7" t="s">
        <v>266</v>
      </c>
      <c r="E22" s="7" t="s">
        <v>307</v>
      </c>
      <c r="F22" s="7" t="s">
        <v>334</v>
      </c>
      <c r="G22" s="7" t="s">
        <v>305</v>
      </c>
      <c r="H22" s="7" t="s">
        <v>333</v>
      </c>
      <c r="I22" s="8" t="s">
        <v>5</v>
      </c>
      <c r="J22" s="7" t="s">
        <v>332</v>
      </c>
      <c r="K22" s="7" t="s">
        <v>331</v>
      </c>
      <c r="L22" s="7" t="s">
        <v>379</v>
      </c>
      <c r="M22" s="7" t="s">
        <v>330</v>
      </c>
    </row>
    <row r="23" spans="1:13" ht="54">
      <c r="A23" s="9" t="s">
        <v>329</v>
      </c>
      <c r="B23" s="9" t="s">
        <v>298</v>
      </c>
      <c r="C23" s="9" t="s">
        <v>328</v>
      </c>
      <c r="D23" s="9" t="s">
        <v>266</v>
      </c>
      <c r="E23" s="9" t="s">
        <v>327</v>
      </c>
      <c r="F23" s="9" t="s">
        <v>326</v>
      </c>
      <c r="G23" s="9" t="s">
        <v>325</v>
      </c>
      <c r="H23" s="9" t="s">
        <v>324</v>
      </c>
      <c r="I23" s="8" t="s">
        <v>5</v>
      </c>
      <c r="J23" s="9" t="s">
        <v>323</v>
      </c>
      <c r="K23" s="9" t="s">
        <v>322</v>
      </c>
      <c r="L23" s="9" t="s">
        <v>380</v>
      </c>
      <c r="M23" s="9" t="s">
        <v>321</v>
      </c>
    </row>
    <row r="24" spans="1:13" ht="54">
      <c r="A24" s="7" t="s">
        <v>320</v>
      </c>
      <c r="B24" s="7" t="s">
        <v>298</v>
      </c>
      <c r="C24" s="7" t="s">
        <v>319</v>
      </c>
      <c r="D24" s="7" t="s">
        <v>318</v>
      </c>
      <c r="E24" s="7" t="s">
        <v>317</v>
      </c>
      <c r="F24" s="7" t="s">
        <v>316</v>
      </c>
      <c r="G24" s="7" t="s">
        <v>315</v>
      </c>
      <c r="H24" s="7" t="s">
        <v>314</v>
      </c>
      <c r="I24" s="11" t="s">
        <v>253</v>
      </c>
      <c r="J24" s="7" t="s">
        <v>313</v>
      </c>
      <c r="K24" s="7" t="s">
        <v>312</v>
      </c>
      <c r="L24" s="7" t="s">
        <v>311</v>
      </c>
      <c r="M24" s="7" t="s">
        <v>310</v>
      </c>
    </row>
    <row r="25" spans="1:13" ht="54">
      <c r="A25" s="9" t="s">
        <v>309</v>
      </c>
      <c r="B25" s="9" t="s">
        <v>298</v>
      </c>
      <c r="C25" s="9" t="s">
        <v>308</v>
      </c>
      <c r="D25" s="9" t="s">
        <v>266</v>
      </c>
      <c r="E25" s="9" t="s">
        <v>307</v>
      </c>
      <c r="F25" s="9" t="s">
        <v>306</v>
      </c>
      <c r="G25" s="9" t="s">
        <v>305</v>
      </c>
      <c r="H25" s="9" t="s">
        <v>304</v>
      </c>
      <c r="I25" s="11" t="s">
        <v>253</v>
      </c>
      <c r="J25" s="9" t="s">
        <v>303</v>
      </c>
      <c r="K25" s="9" t="s">
        <v>302</v>
      </c>
      <c r="L25" s="9" t="s">
        <v>301</v>
      </c>
      <c r="M25" s="9" t="s">
        <v>300</v>
      </c>
    </row>
    <row r="26" spans="1:13" ht="54">
      <c r="A26" s="7" t="s">
        <v>299</v>
      </c>
      <c r="B26" s="7" t="s">
        <v>298</v>
      </c>
      <c r="C26" s="7" t="s">
        <v>297</v>
      </c>
      <c r="D26" s="7" t="s">
        <v>266</v>
      </c>
      <c r="E26" s="7" t="s">
        <v>296</v>
      </c>
      <c r="F26" s="7" t="s">
        <v>295</v>
      </c>
      <c r="G26" s="7" t="s">
        <v>294</v>
      </c>
      <c r="H26" s="7" t="s">
        <v>293</v>
      </c>
      <c r="I26" s="11" t="s">
        <v>253</v>
      </c>
      <c r="J26" s="7" t="s">
        <v>292</v>
      </c>
      <c r="K26" s="7" t="s">
        <v>291</v>
      </c>
      <c r="L26" s="7" t="s">
        <v>290</v>
      </c>
      <c r="M26" s="7" t="s">
        <v>289</v>
      </c>
    </row>
    <row r="27" spans="1:13" ht="67.5">
      <c r="A27" s="9" t="s">
        <v>288</v>
      </c>
      <c r="B27" s="9" t="s">
        <v>287</v>
      </c>
      <c r="C27" s="9" t="s">
        <v>286</v>
      </c>
      <c r="D27" s="9" t="s">
        <v>285</v>
      </c>
      <c r="E27" s="9" t="s">
        <v>284</v>
      </c>
      <c r="F27" s="9" t="s">
        <v>283</v>
      </c>
      <c r="G27" s="9" t="s">
        <v>221</v>
      </c>
      <c r="H27" s="9" t="s">
        <v>282</v>
      </c>
      <c r="I27" s="11" t="s">
        <v>253</v>
      </c>
      <c r="J27" s="9" t="s">
        <v>281</v>
      </c>
      <c r="K27" s="9" t="s">
        <v>280</v>
      </c>
      <c r="L27" s="9" t="s">
        <v>279</v>
      </c>
      <c r="M27" s="9" t="s">
        <v>278</v>
      </c>
    </row>
  </sheetData>
  <mergeCells count="4">
    <mergeCell ref="A1:M1"/>
    <mergeCell ref="A2:M2"/>
    <mergeCell ref="D4:M4"/>
    <mergeCell ref="D5:M7"/>
  </mergeCells>
  <conditionalFormatting sqref="I11:I200">
    <cfRule type="expression" dxfId="2" priority="1">
      <formula>I11="Final"</formula>
    </cfRule>
    <cfRule type="expression" dxfId="1" priority="2">
      <formula>I11="Provisional"</formula>
    </cfRule>
    <cfRule type="expression" dxfId="0" priority="3">
      <formula>I11="Excluded"</formula>
    </cfRule>
  </conditionalFormatting>
  <dataValidations count="1">
    <dataValidation type="list" sqref="I11:I200" xr:uid="{00000000-0002-0000-0100-000000000000}">
      <formula1>"Final,Provisional,Excluded"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Methodology Decisions</vt:lpstr>
      <vt:lpstr>Feature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Yakubesan</dc:creator>
  <cp:lastModifiedBy>Sara Yakubesan</cp:lastModifiedBy>
  <dcterms:created xsi:type="dcterms:W3CDTF">2026-09-15T01:20:13Z</dcterms:created>
  <dcterms:modified xsi:type="dcterms:W3CDTF">2026-09-17T01:06:29Z</dcterms:modified>
</cp:coreProperties>
</file>